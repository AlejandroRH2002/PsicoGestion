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/Users/victorhugorosado/Downloads/"/>
    </mc:Choice>
  </mc:AlternateContent>
  <xr:revisionPtr revIDLastSave="0" documentId="8_{28DDF011-CD87-45B6-B621-CAFCB51C9BAE}" xr6:coauthVersionLast="47" xr6:coauthVersionMax="47" xr10:uidLastSave="{00000000-0000-0000-0000-000000000000}"/>
  <bookViews>
    <workbookView xWindow="0" yWindow="0" windowWidth="28800" windowHeight="18000" tabRatio="500" firstSheet="1" activeTab="1" xr2:uid="{00000000-000D-0000-FFFF-FFFF00000000}"/>
  </bookViews>
  <sheets>
    <sheet name="Guía" sheetId="1" r:id="rId1"/>
    <sheet name="Casos de Prueba" sheetId="2" r:id="rId2"/>
    <sheet name="Resumen" sheetId="3" r:id="rId3"/>
  </sheets>
  <definedNames>
    <definedName name="_xlnm._FilterDatabase" localSheetId="1" hidden="1">'Casos de Prueba'!$A$1:$M$93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3" l="1"/>
  <c r="F12" i="3"/>
  <c r="C21" i="3"/>
  <c r="F19" i="3"/>
  <c r="E19" i="3"/>
  <c r="D19" i="3"/>
  <c r="C19" i="3"/>
  <c r="F18" i="3"/>
  <c r="E18" i="3"/>
  <c r="D18" i="3"/>
  <c r="C18" i="3"/>
  <c r="F17" i="3"/>
  <c r="E17" i="3"/>
  <c r="D17" i="3"/>
  <c r="C17" i="3"/>
  <c r="E12" i="3"/>
  <c r="D12" i="3"/>
  <c r="C12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E13" i="3" s="1"/>
  <c r="D6" i="3"/>
  <c r="D13" i="3" s="1"/>
  <c r="C6" i="3"/>
  <c r="C13" i="3" s="1"/>
  <c r="F13" i="3" l="1"/>
</calcChain>
</file>

<file path=xl/sharedStrings.xml><?xml version="1.0" encoding="utf-8"?>
<sst xmlns="http://schemas.openxmlformats.org/spreadsheetml/2006/main" count="1087" uniqueCount="546">
  <si>
    <t>Casos de Prueba del Sistema — PsicoGestión</t>
  </si>
  <si>
    <t>Basado en el ERS_PsicoGestión v0.3 (27/mayo/2025)  ·  Documento generado: 28/08/2026</t>
  </si>
  <si>
    <t>Objetivo del documento</t>
  </si>
  <si>
    <t>Definir los casos de prueba del sistema PsicoGestión a partir de los requerimientos funcionales (RF) y no funcionales (RNF) del ERS, como base para la etapa de pruebas de sistema dentro del ciclo de QA. Cada caso de prueba es trazable a uno o más requisitos del ERS, para poder demostrar cobertura de pruebas.</t>
  </si>
  <si>
    <t>Cómo usar este archivo</t>
  </si>
  <si>
    <t>Hoja 'Casos de Prueba'</t>
  </si>
  <si>
    <t>Contiene la matriz completa de casos de prueba, organizada por módulo funcional. Es la hoja de trabajo principal: úsala para ejecutar las pruebas y registrar resultados.</t>
  </si>
  <si>
    <t>Columna 'Resultado obtenido'</t>
  </si>
  <si>
    <t>Regístralo durante la ejecución: qué ocurrió realmente al correr el caso.</t>
  </si>
  <si>
    <t>Columna 'Estado'</t>
  </si>
  <si>
    <t>Actualízala en cada ejecución. Valores disponibles (lista desplegable): Pendiente, Aprobado, Fallido, Bloqueado, No aplica.</t>
  </si>
  <si>
    <t>Columna 'Observaciones'</t>
  </si>
  <si>
    <t>Anota aquí notas adicionales, capturas de pantalla asociadas, o el ID del reporte de defecto (ver plantilla 'Reporte de defectos' en docs/plantillas del repositorio) cuando un caso falle.</t>
  </si>
  <si>
    <t>Hoja 'Resumen'</t>
  </si>
  <si>
    <t>Se actualiza automáticamente y muestra el avance de ejecución por módulo y por prioridad.</t>
  </si>
  <si>
    <t>Convención de identificadores (ID)</t>
  </si>
  <si>
    <t>CP-&lt;MÓDULO&gt;-&lt;###&gt;   →   Ejemplo: CP-CIT-011 = Caso de Prueba #011 del módulo de Citas.
Prefijos de módulo: CTA = Cuentas · TER = Terapeutas · PAC = Pacientes · SAL = Salas · CIT = Citas · AGE = Agenda · INI = Página de inicio · RNF = Requisitos no funcionales.
El campo 'Requisito(s) relacionado(s)' usa la nomenclatura del ERS: RF X.Y.Z (requerimiento funcional) y RNF X.Y.Z (requerimiento no funcional), donde X = módulo, Y = subcategoría, Z = número de requisito.</t>
  </si>
  <si>
    <t>Tipos de caso de prueba</t>
  </si>
  <si>
    <t>Funcional - Positivo</t>
  </si>
  <si>
    <t>Verifica que el sistema funcione correctamente con datos y flujos válidos (camino feliz).</t>
  </si>
  <si>
    <t>Funcional - Negativo</t>
  </si>
  <si>
    <t>Verifica que el sistema rechace o maneje correctamente datos inválidos, duplicados o flujos incorrectos.</t>
  </si>
  <si>
    <t>Límite</t>
  </si>
  <si>
    <t>Verifica el comportamiento del sistema en los valores frontera de una validación (mínimos, máximos).</t>
  </si>
  <si>
    <t>No funcional</t>
  </si>
  <si>
    <t>Verifica atributos de calidad: rendimiento, seguridad, confiabilidad, portabilidad y usabilidad.</t>
  </si>
  <si>
    <t>Prioridad</t>
  </si>
  <si>
    <t>Asignada según la clasificación MoSCoW de requerimientos del ERS (sección 2.6):
Alta = cubre requisitos Must Have (M) o riesgos críticos de seguridad/integridad de datos.
Media = cubre requisitos Should Have (S) o validaciones secundarias.
Baja = cubre flujos alternos/cancelaciones o requisitos Could Have (C).
Sugerencia: ejecutar primero todos los casos de prioridad Alta antes de una liberación.</t>
  </si>
  <si>
    <t>Próximos pasos sugeridos</t>
  </si>
  <si>
    <t>1. Revisar y ajustar los casos de prueba con el equipo (nombres de pantallas, datos de prueba reales, ambiente).</t>
  </si>
  <si>
    <t>2. Completar casos de prueba adicionales para RF/RNF muy específicos no cubiertos en esta primera versión (ver nota abajo).</t>
  </si>
  <si>
    <t>3. Definir el ambiente y los datos de prueba (usuarios, pacientes, terapeutas y salas de prueba).</t>
  </si>
  <si>
    <t>4. Ejecutar los casos priorizando 'Alta', registrando 'Resultado obtenido' y 'Estado'.</t>
  </si>
  <si>
    <t>5. Los casos fallidos se documentan con la plantilla de 'Reporte de defectos' (docs/plantillas) y se referencian en 'Observaciones'.</t>
  </si>
  <si>
    <t>6. Actualizar la hoja 'Resumen' (automática) para reportar avance de pruebas al equipo.</t>
  </si>
  <si>
    <t>Nota sobre cobertura</t>
  </si>
  <si>
    <t>Esta versión incluye 92 casos de prueba que cubren los flujos principales, validaciones de campo (formato, unicidad, límites de longitud/edad/fecha) y una muestra representativa de requisitos no funcionales, para 6 de los 7 módulos funcionales del ERS (por indicación del usuario, se excluyó por completo el módulo '2. Administración de terapeutas' — la numeración de módulos conserva la del ERS y por eso salta del 1 al 3). Algunos RF muy granulares (p. ej. cada campo individual mostrado en una vista de solo lectura) se agrupan dentro de un mismo caso de prueba por eficiencia. El caso CP-SAL-006 corresponde a una regla de negocio no explícita en el ERS (eliminar una sala con citas asociadas) — se recomienda validarla con el equipo de desarrollo antes de ejecutarla. Nota: la administración de citas sigue referenciando al terapeuta como entidad relacionada (selección de terapeuta al agendar), aunque su módulo de alta/edición no tiene casos de prueba propios en este documento.</t>
  </si>
  <si>
    <t>ID</t>
  </si>
  <si>
    <t>Módulo</t>
  </si>
  <si>
    <t>Sub-módulo / Funcionalidad</t>
  </si>
  <si>
    <t>Requisito(s) relacionado(s)</t>
  </si>
  <si>
    <t>Tipo de prueba</t>
  </si>
  <si>
    <t>Precondiciones</t>
  </si>
  <si>
    <t>Datos de entrada</t>
  </si>
  <si>
    <t>Pasos</t>
  </si>
  <si>
    <t>Resultado esperado</t>
  </si>
  <si>
    <t>Resultado obtenido</t>
  </si>
  <si>
    <t>Estado</t>
  </si>
  <si>
    <t>Observaciones</t>
  </si>
  <si>
    <t>CP-CTA-001</t>
  </si>
  <si>
    <t>1. Administración de cuentas</t>
  </si>
  <si>
    <t>1.1 Registro de usuarios</t>
  </si>
  <si>
    <t>RF1.1.1-RF1.1.18</t>
  </si>
  <si>
    <t>Alta</t>
  </si>
  <si>
    <t>El usuario cuenta con credenciales válidas y accede al formulario de registro de usuario.</t>
  </si>
  <si>
    <t>Nombre: 'Gaviota Pérez Uc'; Tel: '9991234567'; Correo: 'gperez@correo.uady.mx'; Contraseña: 'Clinica2025!'; Confirmación: 'Clinica2025!'</t>
  </si>
  <si>
    <t>1. Ingresar a la pantalla de registro.
2. Capturar nombre completo, teléfono y correo institucional.
3. Confirmar propiedad del correo y capturar el código de verificación recibido.
4. Capturar contraseña y su confirmación.
5. Enviar el formulario de registro.</t>
  </si>
  <si>
    <t>El sistema valida todos los campos, registra al usuario y lo redirige a la pantalla de inicio de sesión con un mensaje de registro exitoso.</t>
  </si>
  <si>
    <t>Pendiente</t>
  </si>
  <si>
    <t>CP-CTA-002</t>
  </si>
  <si>
    <t>RF1.1.3</t>
  </si>
  <si>
    <t>Media</t>
  </si>
  <si>
    <t>El usuario cuenta con credenciales   válidas y accede al formulario de registro de usuario.</t>
  </si>
  <si>
    <t>Nombre con 51 caracteres.</t>
  </si>
  <si>
    <t>1. Ingresar a la pantalla de registro.
2. Capturar un nombre de 51 caracteres.
3. Intentar continuar el registro.</t>
  </si>
  <si>
    <t>El sistema rechaza el campo, muestra un mensaje indicando el máximo de 50 caracteres permitidos y no permite avanzar.</t>
  </si>
  <si>
    <t>CP-CTA-003</t>
  </si>
  <si>
    <t>Nombre con exactamente 50 caracteres.</t>
  </si>
  <si>
    <t>1. Ingresar a la pantalla de registro.
2. Capturar un nombre de exactamente 50 caracteres.
3. Continuar con el resto del registro.</t>
  </si>
  <si>
    <t>El sistema acepta el campo como válido (valor límite permitido) y permite continuar el registro.</t>
  </si>
  <si>
    <t>CP-CTA-004</t>
  </si>
  <si>
    <t>RF1.1.5</t>
  </si>
  <si>
    <t>El usuario cuenta con credenciales   válidas y accede al formulario de registro de usuario. Ya existe un usuario registrado con el teléfono '9991234567'.</t>
  </si>
  <si>
    <t>Teléfono: '9991234567' (ya registrado).</t>
  </si>
  <si>
    <t>1. Ingresar a la pantalla de registro.
2. Capturar un número telefónico ya registrado en el sistema.
3. Intentar continuar el registro.</t>
  </si>
  <si>
    <t>El sistema detecta la duplicidad y muestra un mensaje de error indicando que el teléfono ya está registrado, sin permitir continuar.</t>
  </si>
  <si>
    <t>CP-CTA-005</t>
  </si>
  <si>
    <t>RF1.1.7</t>
  </si>
  <si>
    <t>Correo: 'usuario@gmail.com' (no institucional).</t>
  </si>
  <si>
    <t>1. Ingresar a la pantalla de registro.
2. Capturar un correo que no cumple el formato institucional UADY.
3. Intentar continuar el registro.</t>
  </si>
  <si>
    <t>El sistema muestra un mensaje de error indicando que el correo debe tener formato institucional UADY y no permite avanzar.</t>
  </si>
  <si>
    <t>CP-CTA-006</t>
  </si>
  <si>
    <t>RF1.1.8</t>
  </si>
  <si>
    <t>El usuario cuenta con credenciales  válidas y accede al formulario de registro de usuario. Ya existe un usuario registrado con el correo 'gperez@correo.uady.mx'.</t>
  </si>
  <si>
    <t>Correo: 'gperez@correo.uady.mx' (ya registrado).</t>
  </si>
  <si>
    <t>1. Ingresar a la pantalla de registro.
2. Capturar un correo institucional ya registrado.
3. Intentar continuar el registro.</t>
  </si>
  <si>
    <t>El sistema detecta la duplicidad y muestra un mensaje de error indicando que el correo ya está registrado.</t>
  </si>
  <si>
    <t>CP-CTA-007</t>
  </si>
  <si>
    <t>RF1.1.9</t>
  </si>
  <si>
    <t>Correo institucional válido, sin confirmar la propiedad del correo.</t>
  </si>
  <si>
    <t>1. Ingresar a la pantalla de registro.
2. Capturar el correo institucional.
3. Intentar avanzar sin confirmar la propiedad del correo.</t>
  </si>
  <si>
    <t>El sistema no permite continuar el registro hasta que el usuario confirme la propiedad del correo electrónico.</t>
  </si>
  <si>
    <t>CP-CTA-008</t>
  </si>
  <si>
    <t>RF1.1.10-RF1.1.11</t>
  </si>
  <si>
    <t>El usuario cuenta con credenciales   válidas y accede al formulario de registro de usuario. El usuario confirmó la propiedad del correo.</t>
  </si>
  <si>
    <t>Código de verificación de 6 dígitos enviado al correo institucional.</t>
  </si>
  <si>
    <t>1. Confirmar la propiedad del correo.
2. Revisar el código de verificación recibido en el correo institucional.
3. Ingresar el código en el formulario de registro.</t>
  </si>
  <si>
    <t>El sistema valida el código correctamente y permite continuar con el registro (captura de contraseña).</t>
  </si>
  <si>
    <t>CP-CTA-009</t>
  </si>
  <si>
    <t>RF1.1.11</t>
  </si>
  <si>
    <t>El usuario cuenta con credenciales   válidas y accede al formulario de registro de usuario. El sistema envió un código de verificación al correo institucional.</t>
  </si>
  <si>
    <t>Código de verificación incorrecto (p. ej. '000000').</t>
  </si>
  <si>
    <t>1. Confirmar la propiedad del correo.
2. Ingresar un código de verificación incorrecto.
3. Enviar el formulario.</t>
  </si>
  <si>
    <t>El sistema rechaza el código, muestra un mensaje de error y no permite continuar con el registro.</t>
  </si>
  <si>
    <t>CP-CTA-010</t>
  </si>
  <si>
    <t>RF1.1.13</t>
  </si>
  <si>
    <t>Contraseña: 'Ab1!' (4 caracteres).</t>
  </si>
  <si>
    <t>1. Llegar al paso de captura de contraseña.
2. Ingresar una contraseña de menos de 8 caracteres.
3. Intentar continuar.</t>
  </si>
  <si>
    <t>El sistema rechaza la contraseña indicando que debe tener un mínimo de 8 caracteres.</t>
  </si>
  <si>
    <t>CP-CTA-011</t>
  </si>
  <si>
    <t>Contraseña con 26 caracteres.</t>
  </si>
  <si>
    <t>1. Llegar al paso de captura de contraseña.
2. Ingresar una contraseña de 26 caracteres.
3. Intentar continuar.</t>
  </si>
  <si>
    <t>El sistema rechaza la contraseña indicando que el máximo permitido es de 25 caracteres.</t>
  </si>
  <si>
    <t>CP-CTA-012</t>
  </si>
  <si>
    <t>RF1.1.14</t>
  </si>
  <si>
    <t>Contraseña: 'Clinica!' (sin número).</t>
  </si>
  <si>
    <t>1. Llegar al paso de captura de contraseña.
2. Ingresar una contraseña sin ningún número.
3. Intentar continuar.</t>
  </si>
  <si>
    <t>El sistema rechaza la contraseña e indica que debe contener al menos un número.</t>
  </si>
  <si>
    <t>CP-CTA-013</t>
  </si>
  <si>
    <t>RF1.1.15</t>
  </si>
  <si>
    <t>Contraseña: 'Clinica2025' (sin carácter especial).</t>
  </si>
  <si>
    <t>1. Llegar al paso de captura de contraseña.
2. Ingresar una contraseña sin carácter especial.
3. Intentar continuar.</t>
  </si>
  <si>
    <t>El sistema rechaza la contraseña e indica que debe contener al menos un carácter especial.</t>
  </si>
  <si>
    <t>CP-CTA-014</t>
  </si>
  <si>
    <t>RF1.1.16</t>
  </si>
  <si>
    <t>Contraseña: 'clinica2025!' (sin mayúscula).</t>
  </si>
  <si>
    <t>1. Llegar al paso de captura de contraseña.
2. Ingresar una contraseña sin letra mayúscula.
3. Intentar continuar.</t>
  </si>
  <si>
    <t>El sistema rechaza la contraseña e indica que debe contener al menos una letra mayúscula.</t>
  </si>
  <si>
    <t>CP-CTA-015</t>
  </si>
  <si>
    <t>RF1.1.17-RF1.1.18</t>
  </si>
  <si>
    <t>Contraseña: 'Clinica2025!'; Confirmación: 'Clinica2024!' (no coincide).</t>
  </si>
  <si>
    <t>1. Capturar la contraseña.
2. Capturar una confirmación de contraseña diferente.
3. Intentar completar el registro.</t>
  </si>
  <si>
    <t>El sistema detecta que las contraseñas no coinciden, muestra un mensaje de error y no completa el registro.</t>
  </si>
  <si>
    <t>CP-CTA-016</t>
  </si>
  <si>
    <t>1.2 Inicio de sesión</t>
  </si>
  <si>
    <t>RF1.2.2-RF1.2.3</t>
  </si>
  <si>
    <t>Existe un usuario registrado y activo en el sistema.</t>
  </si>
  <si>
    <t>Teléfono: '9991234567'; Contraseña: 'Clinica2025!'.</t>
  </si>
  <si>
    <t>1. Ingresar a la pantalla de inicio de sesión.
2. Capturar el teléfono registrado y la contraseña correcta.
3. Enviar el formulario.</t>
  </si>
  <si>
    <t>El sistema valida las credenciales y redirige al usuario a la pantalla de inicio (agenda).</t>
  </si>
  <si>
    <t>CP-CTA-017</t>
  </si>
  <si>
    <t>RF1.2.4-RF1.2.5</t>
  </si>
  <si>
    <t>Correo: 'gperez@correo.uady.mx'; Contraseña: 'Clinica2025!'.</t>
  </si>
  <si>
    <t>1. Ingresar a la pantalla de inicio de sesión.
2. Capturar el correo registrado y la contraseña correcta.
3. Enviar el formulario.</t>
  </si>
  <si>
    <t>CP-CTA-018</t>
  </si>
  <si>
    <t>RF1.2.3, RF1.2.5</t>
  </si>
  <si>
    <t>Correo: 'gperez@correo.uady.mx'; Contraseña: 'Incorrecta1!'.</t>
  </si>
  <si>
    <t>1. Ingresar a la pantalla de inicio de sesión.
2. Capturar un correo/teléfono válido con una contraseña incorrecta.
3. Enviar el formulario.</t>
  </si>
  <si>
    <t>El sistema rechaza el inicio de sesión y muestra un mensaje de error genérico, sin conceder acceso.</t>
  </si>
  <si>
    <t>CP-CTA-019</t>
  </si>
  <si>
    <t>RF1.2.1</t>
  </si>
  <si>
    <t>No existe ningún usuario registrado con los datos a utilizar.</t>
  </si>
  <si>
    <t>Correo: 'noexiste@correo.uady.mx'; Contraseña: 'Cualquiera1!'.</t>
  </si>
  <si>
    <t>1. Ingresar a la pantalla de inicio de sesión.
2. Capturar credenciales de un usuario no registrado.
3. Enviar el formulario.</t>
  </si>
  <si>
    <t>El sistema rechaza el inicio de sesión y muestra un mensaje de error, sin conceder acceso al sistema.</t>
  </si>
  <si>
    <t>CP-CTA-020</t>
  </si>
  <si>
    <t>1.3 Cierre de sesión</t>
  </si>
  <si>
    <t>RF1.3.1, RF1.3.2, RF1.3.5, RF1.3.6</t>
  </si>
  <si>
    <t>El usuario (secretaria/administrador) tiene una sesión iniciada en el sistema.</t>
  </si>
  <si>
    <t>N/A.</t>
  </si>
  <si>
    <t>1. Seleccionar la opción de cerrar sesión.
2. Confirmar la acción en el cuadro de diálogo.</t>
  </si>
  <si>
    <t>El sistema cierra la sesión actual y redirige al usuario a la pantalla de inicio de sesión.</t>
  </si>
  <si>
    <t>CP-CTA-021</t>
  </si>
  <si>
    <t>RF1.3.4</t>
  </si>
  <si>
    <t>1. Seleccionar la opción de cerrar sesión.
2. En el cuadro de confirmación, elegir 'Cancelar' / 'No cerrar sesión'.</t>
  </si>
  <si>
    <t>El sistema mantiene la sesión activa y regresa a la pantalla en la que se encontraba el usuario, sin pérdida de información.</t>
  </si>
  <si>
    <t>CP-CTA-022</t>
  </si>
  <si>
    <t>RF1.3.3</t>
  </si>
  <si>
    <t>El usuario (secretaria/administrador) tiene una sesión iniciada en el sistema. El usuario está llenando un formulario de registro/edición sin guardar.</t>
  </si>
  <si>
    <t>Formulario de registro de paciente parcialmente lleno.</t>
  </si>
  <si>
    <t>1. Iniciar el llenado de un formulario (p. ej. registro de paciente).
2. Sin guardar, intentar cerrar sesión.</t>
  </si>
  <si>
    <t>El sistema notifica al usuario que debe finalizar o descartar la acción en curso antes de poder cerrar sesión.</t>
  </si>
  <si>
    <t>CP-CTA-023</t>
  </si>
  <si>
    <t>1.4 Recuperación de cuenta</t>
  </si>
  <si>
    <t>RF1.4.1-RF1.4.5</t>
  </si>
  <si>
    <t>Existe un usuario registrado con correo 'gperez@correo.uady.mx'.</t>
  </si>
  <si>
    <t>Correo: 'gperez@correo.uady.mx'.</t>
  </si>
  <si>
    <t>1. En la pantalla de inicio de sesión, seleccionar '¿Olvidaste tu contraseña?'.
2. Ingresar el correo electrónico registrado.
3. Enviar la solicitud.</t>
  </si>
  <si>
    <t>El sistema envía un correo con un enlace para restablecer la contraseña y muestra un mensaje de confirmación al usuario.</t>
  </si>
  <si>
    <t>CP-CTA-024</t>
  </si>
  <si>
    <t>RF1.4.4</t>
  </si>
  <si>
    <t>Correo: 'correo_invalido' (formato incorrecto).</t>
  </si>
  <si>
    <t>1. Seleccionar '¿Olvidaste tu contraseña?'.
2. Ingresar un correo con formato inválido.
3. Enviar la solicitud.</t>
  </si>
  <si>
    <t>El sistema rechaza la solicitud y muestra un mensaje indicando que el formato del correo no es válido.</t>
  </si>
  <si>
    <t>CP-CTA-025</t>
  </si>
  <si>
    <t>RNF1.4.3</t>
  </si>
  <si>
    <t>No funcional - Seguridad</t>
  </si>
  <si>
    <t>Correo A: registrado en el sistema. Correo B: no registrado.</t>
  </si>
  <si>
    <t>1. Solicitar recuperación de contraseña con un correo registrado y observar el mensaje mostrado.
2. Repetir la solicitud con un correo no registrado y comparar el mensaje mostrado.</t>
  </si>
  <si>
    <t>El mensaje que muestra el sistema es idéntico en ambos casos; no se revela si el correo está o no registrado (previene ataques de enumeración).</t>
  </si>
  <si>
    <t>CP-CTA-026</t>
  </si>
  <si>
    <t>RNF1.4.2</t>
  </si>
  <si>
    <t>Se solicitó un enlace de recuperación de contraseña.</t>
  </si>
  <si>
    <t>Enlace de recuperación con más de 10 minutos de antigüedad.</t>
  </si>
  <si>
    <t>1. Solicitar la recuperación de contraseña y obtener el enlace enviado por correo.
2. Esperar más de 10 minutos.
3. Intentar utilizar el enlace para restablecer la contraseña.</t>
  </si>
  <si>
    <t>El sistema rechaza el enlace por haber expirado y solicita generar una nueva solicitud de recuperación.</t>
  </si>
  <si>
    <t>CP-PAC-001</t>
  </si>
  <si>
    <t>3. Administración de pacientes</t>
  </si>
  <si>
    <t>3.1 Registrar/Agregar pacientes</t>
  </si>
  <si>
    <t>RF3.1.1-RF3.1.12</t>
  </si>
  <si>
    <t>Nombre: 'Juan Pérez Kú'; CURP: 'PEKJ900101HYNRXN05'; Sexo: 'M'; Fecha nacimiento: 01/01/1990; Tel: '9991112233'.</t>
  </si>
  <si>
    <t>1. Acceder a 'Pacientes' y seleccionar 'Añadir paciente'.
2. Capturar nombre completo, CURP, sexo, fecha de nacimiento y teléfono.
3. Guardar el registro.</t>
  </si>
  <si>
    <t>El sistema valida los datos y registra al nuevo paciente, mostrándolo en el listado de pacientes.</t>
  </si>
  <si>
    <t>CP-PAC-002</t>
  </si>
  <si>
    <t>RF3.1.3</t>
  </si>
  <si>
    <t>1. Acceder al formulario de registro de paciente.
2. Capturar un nombre de 51 caracteres.
3. Intentar guardar.</t>
  </si>
  <si>
    <t>El sistema rechaza el campo indicando el máximo de 50 caracteres permitido.</t>
  </si>
  <si>
    <t>CP-PAC-003</t>
  </si>
  <si>
    <t>RF3.1.5</t>
  </si>
  <si>
    <t>El usuario (secretaria/administrador) tiene una sesión iniciada en el sistema. Existe al menos un paciente registrado en el sistema. El CURP 'PEKJ900101HYNRXN05' ya está registrado.</t>
  </si>
  <si>
    <t>CURP: 'PEKJ900101HYNRXN05' (duplicado).</t>
  </si>
  <si>
    <t>1. Acceder al formulario de registro de paciente.
2. Capturar un CURP ya registrado.
3. Intentar guardar.</t>
  </si>
  <si>
    <t>El sistema detecta la duplicidad y muestra un mensaje de error, sin registrar al paciente.</t>
  </si>
  <si>
    <t>CP-PAC-004</t>
  </si>
  <si>
    <t>RF3.1.8</t>
  </si>
  <si>
    <t>Fecha de nacimiento: fecha actual o futura.</t>
  </si>
  <si>
    <t>1. Acceder al formulario de registro de paciente.
2. Capturar una fecha de nacimiento igual o posterior a la fecha del día.
3. Intentar guardar.</t>
  </si>
  <si>
    <t>El sistema rechaza la fecha e indica que debe ser anterior a la fecha de registro.</t>
  </si>
  <si>
    <t>CP-PAC-005</t>
  </si>
  <si>
    <t>RF3.1.9</t>
  </si>
  <si>
    <t>Límite / Negativo</t>
  </si>
  <si>
    <t>Fecha de nacimiento correspondiente a 6 años de edad.</t>
  </si>
  <si>
    <t>1. Acceder al formulario de registro de paciente.
2. Capturar una fecha de nacimiento que resulte en una edad menor a 7 años.
3. Intentar guardar.</t>
  </si>
  <si>
    <t>El sistema rechaza el registro e indica que la edad mínima permitida es de 7 años.</t>
  </si>
  <si>
    <t>CP-PAC-006</t>
  </si>
  <si>
    <t>Fecha de nacimiento correspondiente a exactamente 7 años de edad.</t>
  </si>
  <si>
    <t>1. Acceder al formulario de registro de paciente.
2. Capturar una fecha de nacimiento equivalente a exactamente 7 años.
3. Guardar.</t>
  </si>
  <si>
    <t>El sistema acepta el registro, ya que 7 años es la edad mínima permitida (valor límite válido).</t>
  </si>
  <si>
    <t>CP-PAC-007</t>
  </si>
  <si>
    <t>RF3.1.11</t>
  </si>
  <si>
    <t>El usuario (secretaria/administrador) tiene una sesión iniciada en el sistema. Existe al menos un paciente registrado en el sistema. El teléfono '9991112233' ya está registrado.</t>
  </si>
  <si>
    <t>Teléfono: '9991112233' (duplicado).</t>
  </si>
  <si>
    <t>1. Acceder al formulario de registro de paciente.
2. Capturar un teléfono ya registrado en el sistema.
3. Intentar guardar.</t>
  </si>
  <si>
    <t>CP-PAC-008</t>
  </si>
  <si>
    <t>3.2 Visualización y actualización</t>
  </si>
  <si>
    <t>RF3.2.1</t>
  </si>
  <si>
    <t>El usuario (secretaria/administrador) tiene una sesión iniciada en el sistema. Existe al menos un paciente registrado en el sistema.</t>
  </si>
  <si>
    <t>1. Acceder a la sección 'Pacientes'.
2. Observar el listado.
3. Filtrar por estado: Todos, En progreso, En espera, Finalizados.</t>
  </si>
  <si>
    <t>El sistema muestra el listado completo de pacientes registrados y permite filtrarlo correctamente por cada estado.</t>
  </si>
  <si>
    <t>CP-PAC-009</t>
  </si>
  <si>
    <t>RF3.2.3</t>
  </si>
  <si>
    <t>1. Acceder al listado de pacientes.
2. Seleccionar un paciente registrado.</t>
  </si>
  <si>
    <t>El sistema muestra la vista de perfil del paciente con nombre completo, fecha de nacimiento, CURP y teléfono.</t>
  </si>
  <si>
    <t>CP-PAC-010</t>
  </si>
  <si>
    <t>RF3.2.4-RF3.2.6</t>
  </si>
  <si>
    <t>Nuevo teléfono: '9993334455'.</t>
  </si>
  <si>
    <t>1. Acceder al perfil de un paciente registrado.
2. Seleccionar 'Editar'.
3. Modificar el número de teléfono.
4. Guardar los cambios.</t>
  </si>
  <si>
    <t>El sistema valida el nuevo dato, guarda los cambios y los refleja inmediatamente en el perfil del paciente.</t>
  </si>
  <si>
    <t>CP-PAC-011</t>
  </si>
  <si>
    <t>RF3.2.5</t>
  </si>
  <si>
    <t>El usuario (secretaria/administrador) tiene una sesión iniciada en el sistema. Existe al menos un paciente registrado en el sistema. Existen al menos dos pacientes registrados.</t>
  </si>
  <si>
    <t>CURP de otro paciente ya registrado.</t>
  </si>
  <si>
    <t>1. Acceder al perfil de un paciente y seleccionar 'Editar'.
2. Modificar el CURP usando uno perteneciente a otro paciente.
3. Intentar guardar.</t>
  </si>
  <si>
    <t>El sistema detecta la duplicidad, rechaza el cambio y muestra un mensaje de error sin alterar los datos existentes.</t>
  </si>
  <si>
    <t>CP-PAC-012</t>
  </si>
  <si>
    <t>3.3 Eliminación de pacientes</t>
  </si>
  <si>
    <t>RF3.3.1-RF3.3.3</t>
  </si>
  <si>
    <t>1. Acceder al perfil de un paciente registrado.
2. Seleccionar 'Eliminar'.
3. Confirmar la eliminación en el cuadro de diálogo.</t>
  </si>
  <si>
    <t>El sistema elimina el perfil del paciente, muestra un mensaje de confirmación y el paciente deja de aparecer en el listado.</t>
  </si>
  <si>
    <t>CP-PAC-013</t>
  </si>
  <si>
    <t>RF3.3.2</t>
  </si>
  <si>
    <t>1. Acceder al perfil de un paciente registrado.
2. Seleccionar 'Eliminar'.
3. Cancelar la acción en el cuadro de confirmación.</t>
  </si>
  <si>
    <t>El sistema no elimina al paciente y este continúa visible en el listado sin cambios.</t>
  </si>
  <si>
    <t>CP-SAL-001</t>
  </si>
  <si>
    <t>4. Administración de salas</t>
  </si>
  <si>
    <t>4.1 Agregar sala</t>
  </si>
  <si>
    <t>RF4.1.1-RF4.1.4</t>
  </si>
  <si>
    <t>Nombre de sala: 'Sala D'.</t>
  </si>
  <si>
    <t>1. Acceder a 'Salas' y seleccionar 'Agregar sala'.
2. Capturar el nombre de la sala.
3. Guardar.</t>
  </si>
  <si>
    <t>El sistema valida el nombre, registra la nueva sala y la muestra en el listado de salas disponibles.</t>
  </si>
  <si>
    <t>CP-SAL-002</t>
  </si>
  <si>
    <t>RF4.1.3</t>
  </si>
  <si>
    <t>Nombre de sala con 11 caracteres (p. ej. 'Sala Grande').</t>
  </si>
  <si>
    <t>1. Acceder al formulario de alta de sala.
2. Capturar un nombre de más de 10 caracteres.
3. Intentar guardar.</t>
  </si>
  <si>
    <t>El sistema rechaza el campo indicando el máximo de 10 caracteres permitido.</t>
  </si>
  <si>
    <t>CP-SAL-003</t>
  </si>
  <si>
    <t>RF4.1.4</t>
  </si>
  <si>
    <t>El usuario (secretaria/administrador) tiene una sesión iniciada en el sistema. Existe al menos una sala registrada en el sistema. Ya existe una sala registrada con el nombre 'Sala A'.</t>
  </si>
  <si>
    <t>Nombre de sala: 'Sala A' (duplicado).</t>
  </si>
  <si>
    <t>1. Acceder al formulario de alta de sala.
2. Capturar un nombre de sala ya registrado.
3. Intentar guardar.</t>
  </si>
  <si>
    <t>El sistema detecta la duplicidad y muestra un mensaje de error, sin registrar la sala.</t>
  </si>
  <si>
    <t>CP-SAL-004</t>
  </si>
  <si>
    <t>4.2 Eliminar sala</t>
  </si>
  <si>
    <t>RF4.2.1-RF4.2.5</t>
  </si>
  <si>
    <t>El usuario (secretaria/administrador) tiene una sesión iniciada en el sistema. Existe al menos una sala registrada en el sistema. La sala seleccionada no tiene citas pendientes asociadas.</t>
  </si>
  <si>
    <t>1. Acceder al listado de salas.
2. Seleccionar una sala existente.
3. Elegir 'Eliminar'.
4. Confirmar la eliminación.</t>
  </si>
  <si>
    <t>El sistema elimina la sala, muestra un mensaje de confirmación y esta deja de aparecer en el listado.</t>
  </si>
  <si>
    <t>CP-SAL-005</t>
  </si>
  <si>
    <t>RF4.2.4</t>
  </si>
  <si>
    <t>El usuario (secretaria/administrador) tiene una sesión iniciada en el sistema. Existe al menos una sala registrada en el sistema.</t>
  </si>
  <si>
    <t>1. Acceder al listado de salas y seleccionar una sala.
2. Elegir 'Eliminar'.
3. Cancelar la acción en el cuadro de confirmación.</t>
  </si>
  <si>
    <t>El sistema no elimina la sala y esta continúa visible en el listado sin cambios.</t>
  </si>
  <si>
    <t>CP-SAL-006</t>
  </si>
  <si>
    <t>Caso derivado (no explícito en el ERS; validar regla de negocio con el equipo)</t>
  </si>
  <si>
    <t>El usuario (secretaria/administrador) tiene una sesión iniciada en el sistema. Existe al menos una sala registrada en el sistema. La sala tiene al menos una cita pendiente asignada.</t>
  </si>
  <si>
    <t>Sala con citas pendientes asociadas.</t>
  </si>
  <si>
    <t>1. Acceder al listado de salas.
2. Intentar eliminar una sala que tiene citas pendientes asociadas.
3. Confirmar la eliminación.</t>
  </si>
  <si>
    <t>El sistema impide la eliminación (o advierte del impacto) mientras existan citas pendientes asociadas a la sala, evitando inconsistencias en la agenda.</t>
  </si>
  <si>
    <t>CP-SAL-007</t>
  </si>
  <si>
    <t>4.3 Visualización de sala</t>
  </si>
  <si>
    <t>RF4.3.1</t>
  </si>
  <si>
    <t>1. Acceder a la sección 'Salas'.
2. Observar el listado de salas.</t>
  </si>
  <si>
    <t>El sistema muestra el listado completo de salas registradas en la clínica.</t>
  </si>
  <si>
    <t>CP-SAL-008</t>
  </si>
  <si>
    <t>RF4.3.2-RF4.3.3</t>
  </si>
  <si>
    <t>El usuario (secretaria/administrador) tiene una sesión iniciada en el sistema. Existe al menos una sala registrada en el sistema. La sala tiene al menos una cita programada en la fecha a consultar.</t>
  </si>
  <si>
    <t>Fecha específica con citas programadas.</t>
  </si>
  <si>
    <t>1. Acceder al listado de salas.
2. Seleccionar una sala y una fecha específica.
3. Consultar su estado.</t>
  </si>
  <si>
    <t>El sistema muestra correctamente el estado de la sala (reservada o libre) para cada bloque horario de la fecha consultada.</t>
  </si>
  <si>
    <t>CP-CIT-001</t>
  </si>
  <si>
    <t>5. Administración de citas</t>
  </si>
  <si>
    <t>5.1 Agendar cita</t>
  </si>
  <si>
    <t>RF5.1.1-RF5.1.13</t>
  </si>
  <si>
    <t>El usuario (secretaria/administrador) tiene una sesión iniciada en el sistema. Existen pacientes, terapeutas y salas registrados, con disponibilidad de horario.</t>
  </si>
  <si>
    <t>Paciente: 'Juan Pérez Kú'; Terapeuta: 'Victoria Méndez Uc'; Sala: 'Sala A'; Fecha: próximo lunes; Hora: 10:00.</t>
  </si>
  <si>
    <t>1. Acceder a 'Citas' y seleccionar 'Agendar cita'.
2. Seleccionar paciente y terapeuta de las listas registradas.
3. Elegir sala, fecha y horario disponibles.
4. Confirmar los datos mostrados.
5. Guardar la cita.</t>
  </si>
  <si>
    <t>El sistema registra la cita con estatus 'Pendiente', genera un folio único y muestra un mensaje de confirmación de agendado exitoso.</t>
  </si>
  <si>
    <t>CP-CIT-002</t>
  </si>
  <si>
    <t>RF5.1.3-RF5.1.4</t>
  </si>
  <si>
    <t>1. Acceder al formulario de agendar cita.
2. Seleccionar paciente y terapeuta.
3. Observar las salas, fechas y horarios disponibles mostrados por el sistema.</t>
  </si>
  <si>
    <t>El sistema muestra únicamente los horarios y salas realmente disponibles para el terapeuta seleccionado.</t>
  </si>
  <si>
    <t>CP-CIT-003</t>
  </si>
  <si>
    <t>Regla de disponibilidad de sala/horario (RF5.1.3, DisponibilidadSala)</t>
  </si>
  <si>
    <t>El usuario (secretaria/administrador) tiene una sesión iniciada en el sistema. Existen pacientes, terapeutas y salas registrados, con disponibilidad de horario. Ya existe una cita agendada en 'Sala A' el lunes a las 10:00.</t>
  </si>
  <si>
    <t>Sala: 'Sala A'; Fecha/hora ya ocupada: lunes 10:00.</t>
  </si>
  <si>
    <t>1. Acceder al formulario de agendar cita.
2. Intentar seleccionar una sala, fecha y hora que ya tienen una cita asignada.</t>
  </si>
  <si>
    <t>El sistema no permite seleccionar el horario ocupado (o rechaza el guardado) y notifica que la sala/horario no está disponible.</t>
  </si>
  <si>
    <t>CP-CIT-004</t>
  </si>
  <si>
    <t>RF5.1.12</t>
  </si>
  <si>
    <t>1. Completar y confirmar el agendado de una nueva cita.
2. Guardar la cita.
3. Repetir el proceso para una segunda cita.</t>
  </si>
  <si>
    <t>El sistema genera automáticamente un folio único para cada cita, sin duplicados entre citas distintas.</t>
  </si>
  <si>
    <t>CP-CIT-005</t>
  </si>
  <si>
    <t>RF5.1.14</t>
  </si>
  <si>
    <t>El usuario (secretaria/administrador) tiene una sesión iniciada en el sistema. Existen pacientes, terapeutas y salas registrados, con disponibilidad de horario. El paciente cuenta con datos de contacto válidos.</t>
  </si>
  <si>
    <t>1. Agendar una cita exitosamente.
2. Revisar el medio de contacto (correo/teléfono) registrado del paciente.</t>
  </si>
  <si>
    <t>El sistema envía al paciente la confirmación de la cita con nombre del paciente, terapeuta, folio, sala, fecha y hora.</t>
  </si>
  <si>
    <t>CP-CIT-006</t>
  </si>
  <si>
    <t>RF5.1.10</t>
  </si>
  <si>
    <t>1. Completar los datos del formulario de agendar cita.
2. En el mensaje de confirmación de datos, seleccionar 'Cancelar'.</t>
  </si>
  <si>
    <t>El sistema no guarda la cita y regresa al formulario, permitiendo corregir los datos antes de confirmar nuevamente.</t>
  </si>
  <si>
    <t>CP-CIT-007</t>
  </si>
  <si>
    <t>5.2 Visualización de cita</t>
  </si>
  <si>
    <t>RF5.2.1-RF5.2.2</t>
  </si>
  <si>
    <t>El usuario (secretaria/administrador) tiene una sesión iniciada en el sistema. Existen pacientes, terapeutas y salas registrados, con disponibilidad de horario. Existen citas con estatus pendiente, cancelada y vencida.</t>
  </si>
  <si>
    <t>1. Acceder al listado de citas.
2. Observar la categorización por estatus (pendientes, canceladas, vencidas).</t>
  </si>
  <si>
    <t>El sistema lista correctamente las citas agrupadas según su estatus actual.</t>
  </si>
  <si>
    <t>CP-CIT-008</t>
  </si>
  <si>
    <t>RF5.2.3</t>
  </si>
  <si>
    <t>Sala: 'Sala A'.</t>
  </si>
  <si>
    <t>1. Acceder al listado de citas.
2. Aplicar el filtro por sala.</t>
  </si>
  <si>
    <t>El sistema muestra únicamente las citas correspondientes a la sala seleccionada.</t>
  </si>
  <si>
    <t>CP-CIT-009</t>
  </si>
  <si>
    <t>Terapeuta: 'Victoria Méndez Uc'.</t>
  </si>
  <si>
    <t>1. Acceder al listado de citas.
2. Aplicar el filtro por terapeuta.</t>
  </si>
  <si>
    <t>El sistema muestra únicamente las citas correspondientes al terapeuta seleccionado.</t>
  </si>
  <si>
    <t>CP-CIT-010</t>
  </si>
  <si>
    <t>Periodo: semana actual.</t>
  </si>
  <si>
    <t>1. Acceder al listado de citas.
2. Aplicar el filtro por día, semana y mes de forma independiente.</t>
  </si>
  <si>
    <t>El sistema muestra correctamente las citas correspondientes a cada periodo filtrado (día, semana o mes).</t>
  </si>
  <si>
    <t>CP-CIT-011</t>
  </si>
  <si>
    <t>5.3 Modificación de cita</t>
  </si>
  <si>
    <t>RF5.3.1-RF5.3.6</t>
  </si>
  <si>
    <t>El usuario (secretaria/administrador) tiene una sesión iniciada en el sistema. Existen pacientes, terapeutas y salas registrados, con disponibilidad de horario. Existe una cita pendiente previamente agendada.</t>
  </si>
  <si>
    <t>Nuevo horario: martes 11:00.</t>
  </si>
  <si>
    <t>1. Acceder al listado de citas y seleccionar una cita pendiente.
2. Seleccionar 'Modificar'.
3. Cambiar la fecha/hora de la cita.
4. Confirmar la modificación.</t>
  </si>
  <si>
    <t>El sistema valida los nuevos datos, guarda los cambios y muestra un mensaje de modificación exitosa.</t>
  </si>
  <si>
    <t>CP-CIT-012</t>
  </si>
  <si>
    <t>RF5.3.4</t>
  </si>
  <si>
    <t>Campo de fecha vacío o con formato inválido.</t>
  </si>
  <si>
    <t>1. Acceder a la edición de una cita existente.
2. Ingresar datos inválidos en alguno de los campos (p. ej. fecha vacía).
3. Intentar guardar.</t>
  </si>
  <si>
    <t>El sistema valida los campos, rechaza el guardado y muestra un mensaje de error indicando el dato inválido.</t>
  </si>
  <si>
    <t>CP-CIT-013</t>
  </si>
  <si>
    <t>Regla de disponibilidad de sala/horario</t>
  </si>
  <si>
    <t>El usuario (secretaria/administrador) tiene una sesión iniciada en el sistema. Existen pacientes, terapeutas y salas registrados, con disponibilidad de horario. Ya existe otra cita agendada en el horario destino.</t>
  </si>
  <si>
    <t>Horario destino ya ocupado por otra cita.</t>
  </si>
  <si>
    <t>1. Acceder a la edición de una cita existente.
2. Intentar reasignarla a una sala/horario ya ocupado por otra cita.
3. Confirmar la modificación.</t>
  </si>
  <si>
    <t>El sistema detecta el conflicto de horario, rechaza el cambio y notifica que el horario/sala no está disponible.</t>
  </si>
  <si>
    <t>CP-CIT-014</t>
  </si>
  <si>
    <t>5.4 Cancelación de cita</t>
  </si>
  <si>
    <t>RF5.4.1-RF5.4.4</t>
  </si>
  <si>
    <t>El usuario (secretaria/administrador) tiene una sesión iniciada en el sistema. Existen pacientes, terapeutas y salas registrados, con disponibilidad de horario. Existe una cita pendiente con folio conocido.</t>
  </si>
  <si>
    <t>Folio de cita existente.</t>
  </si>
  <si>
    <t>1. Acceder a 'Citas' y seleccionar 'Cancelar cita'.
2. Ingresar el folio de la cita.
3. Confirmar la cancelación.</t>
  </si>
  <si>
    <t>El sistema cambia el estatus de la cita a 'Cancelada' y muestra un mensaje de confirmación de cancelación.</t>
  </si>
  <si>
    <t>CP-CIT-015</t>
  </si>
  <si>
    <t>RF5.4.2</t>
  </si>
  <si>
    <t>Folio inexistente: 'FL-00000'.</t>
  </si>
  <si>
    <t>1. Acceder a 'Cancelar cita'.
2. Ingresar un folio que no existe en el sistema.
3. Intentar continuar.</t>
  </si>
  <si>
    <t>El sistema muestra un mensaje de error indicando que el folio no corresponde a ninguna cita registrada.</t>
  </si>
  <si>
    <t>CP-CIT-016</t>
  </si>
  <si>
    <t>RF5.4.3</t>
  </si>
  <si>
    <t>Baja</t>
  </si>
  <si>
    <t>1. Acceder a 'Cancelar cita' e ingresar un folio válido.
2. En el cuadro de confirmación, elegir no cancelar.</t>
  </si>
  <si>
    <t>El sistema no cancela la cita y esta conserva su estatus original ('Pendiente').</t>
  </si>
  <si>
    <t>CP-AGE-001</t>
  </si>
  <si>
    <t>6. Agenda</t>
  </si>
  <si>
    <t>6.1 Visualización de agenda</t>
  </si>
  <si>
    <t>RF6.1.1</t>
  </si>
  <si>
    <t>El usuario (secretaria/administrador) tiene una sesión iniciada en el sistema. Existen pacientes, terapeutas y salas registrados, con disponibilidad de horario. Existen citas programadas para el día actual.</t>
  </si>
  <si>
    <t>1. Acceder a la sección 'Agenda'.
2. Observar la vista con las citas programadas.</t>
  </si>
  <si>
    <t>El sistema muestra la agenda con las citas programadas, incluyendo paciente, terapeuta, sala y horario asignado.</t>
  </si>
  <si>
    <t>CP-AGE-002</t>
  </si>
  <si>
    <t>RF6.1.2</t>
  </si>
  <si>
    <t>1. Acceder a la sección 'Agenda'.
2. Cambiar el filtro de vista entre día, semana y mes.</t>
  </si>
  <si>
    <t>El sistema actualiza correctamente la vista de la agenda según el filtro seleccionado (día, semana o mes).</t>
  </si>
  <si>
    <t>CP-AGE-003</t>
  </si>
  <si>
    <t>6.2 Impresión de agenda</t>
  </si>
  <si>
    <t>RF6.2.1</t>
  </si>
  <si>
    <t>1. Acceder a la agenda.
2. Seleccionar una fecha específica en el calendario.</t>
  </si>
  <si>
    <t>El sistema muestra la agenda correspondiente a la fecha seleccionada.</t>
  </si>
  <si>
    <t>CP-AGE-004</t>
  </si>
  <si>
    <t>RF6.2.2</t>
  </si>
  <si>
    <t>Fecha con citas distribuidas en distintos horarios.</t>
  </si>
  <si>
    <t>1. Seleccionar una fecha en la agenda.
2. Observar la lista de horarios mostrada.</t>
  </si>
  <si>
    <t>El sistema muestra los horarios divididos en bloques de 30 minutos, desde las 7:00 hasta las 17:00 horas.</t>
  </si>
  <si>
    <t>CP-AGE-005</t>
  </si>
  <si>
    <t>RF6.2.3</t>
  </si>
  <si>
    <t>El usuario (secretaria/administrador) tiene una sesión iniciada en el sistema. Existen pacientes, terapeutas y salas registrados, con disponibilidad de horario. Existen bloques horarios ocupados en la fecha consultada.</t>
  </si>
  <si>
    <t>1. Seleccionar una fecha con citas programadas.
2. Observar los bloques horarios ocupados y libres.</t>
  </si>
  <si>
    <t>El sistema resalta o distingue claramente los horarios ocupados de los disponibles para esa fecha.</t>
  </si>
  <si>
    <t>CP-AGE-006</t>
  </si>
  <si>
    <t>RF6.2.4</t>
  </si>
  <si>
    <t>1. Acceder a la agenda y seleccionar una fecha.
2. Seleccionar la opción 'Imprimir'.</t>
  </si>
  <si>
    <t>El sistema genera un documento/vista lista para impresión con la información actual de la agenda seleccionada.</t>
  </si>
  <si>
    <t>CP-INI-001</t>
  </si>
  <si>
    <t>7. Página de inicio</t>
  </si>
  <si>
    <t>7.1 Visualización de agenda</t>
  </si>
  <si>
    <t>RF7.1.1</t>
  </si>
  <si>
    <t>El usuario inicia sesión correctamente en el sistema.</t>
  </si>
  <si>
    <t>1. Iniciar sesión en el sistema.
2. Observar la pantalla de inicio mostrada.</t>
  </si>
  <si>
    <t>El sistema muestra la pantalla de inicio con la agenda de citas del día visible.</t>
  </si>
  <si>
    <t>CP-INI-002</t>
  </si>
  <si>
    <t>7.2 Navegación de módulos</t>
  </si>
  <si>
    <t>RF7.2.1-RF7.2.2</t>
  </si>
  <si>
    <t>1. En la pantalla de inicio, seleccionar la opción 'Pacientes'.</t>
  </si>
  <si>
    <t>El sistema redirige correctamente a la pantalla de gestión de pacientes.</t>
  </si>
  <si>
    <t>CP-INI-003</t>
  </si>
  <si>
    <t>RF7.2.3</t>
  </si>
  <si>
    <t>1. En la pantalla de inicio, seleccionar la opción 'Terapeutas'.</t>
  </si>
  <si>
    <t>El sistema redirige correctamente a la pantalla de gestión de terapeutas.</t>
  </si>
  <si>
    <t>CP-INI-004</t>
  </si>
  <si>
    <t>RF7.2.4</t>
  </si>
  <si>
    <t>1. En la pantalla de inicio, seleccionar la opción 'Salas'.</t>
  </si>
  <si>
    <t>El sistema redirige correctamente a la pantalla de gestión de salas.</t>
  </si>
  <si>
    <t>CP-INI-005</t>
  </si>
  <si>
    <t>RF7.2.5</t>
  </si>
  <si>
    <t>1. En la pantalla de inicio, seleccionar la opción 'Citas'.</t>
  </si>
  <si>
    <t>El sistema redirige correctamente a la pantalla de gestión de citas.</t>
  </si>
  <si>
    <t>CP-INI-006</t>
  </si>
  <si>
    <t>RF7.2.6</t>
  </si>
  <si>
    <t>1. En la pantalla de inicio, seleccionar la opción de cierre de sesión.
2. Confirmar la acción.</t>
  </si>
  <si>
    <t>El sistema cierra la sesión y redirige a la pantalla de inicio de sesión.</t>
  </si>
  <si>
    <t>CP-RNF-001</t>
  </si>
  <si>
    <t>8. Requisitos no funcionales</t>
  </si>
  <si>
    <t>Rendimiento - Cuentas</t>
  </si>
  <si>
    <t>RNF1.1.2</t>
  </si>
  <si>
    <t>No funcional - Rendimiento</t>
  </si>
  <si>
    <t>Datos de registro válidos.</t>
  </si>
  <si>
    <t>1. Completar el formulario de registro con datos válidos.
2. Enviar el formulario y medir el tiempo de validación.</t>
  </si>
  <si>
    <t>El sistema valida los datos de registro en menos de 2 segundos.</t>
  </si>
  <si>
    <t>CP-RNF-002</t>
  </si>
  <si>
    <t>RNF1.1.3</t>
  </si>
  <si>
    <t>1. Iniciar el proceso de registro.
2. Completar validaciones y confirmación por correo.
3. Medir el tiempo total del proceso.</t>
  </si>
  <si>
    <t>El tiempo total para completar un registro exitoso no excede los 3 minutos.</t>
  </si>
  <si>
    <t>CP-RNF-003</t>
  </si>
  <si>
    <t>RNF1.2.1</t>
  </si>
  <si>
    <t>Existe un usuario registrado y activo.</t>
  </si>
  <si>
    <t>Credenciales válidas.</t>
  </si>
  <si>
    <t>1. Ingresar credenciales válidas en el inicio de sesión.
2. Medir el tiempo de respuesta de validación.</t>
  </si>
  <si>
    <t>El sistema valida las credenciales del usuario en menos de 3 segundos.</t>
  </si>
  <si>
    <t>CP-RNF-004</t>
  </si>
  <si>
    <t>Seguridad - Cuentas</t>
  </si>
  <si>
    <t>RNF1.2.2</t>
  </si>
  <si>
    <t>Credenciales con correo correcto y contraseña incorrecta (y viceversa).</t>
  </si>
  <si>
    <t>1. Intentar iniciar sesión con correo correcto y contraseña incorrecta.
2. Intentar iniciar sesión con correo incorrecto y contraseña correcta.
3. Comparar los mensajes de error mostrados.</t>
  </si>
  <si>
    <t>En ambos casos el sistema muestra un mensaje de error genérico, sin indicar cuál credencial específica es incorrecta.</t>
  </si>
  <si>
    <t>CP-RNF-005</t>
  </si>
  <si>
    <t>RNF1.3.3</t>
  </si>
  <si>
    <t>1. Cerrar sesión desde el sistema.
2. Verificar (p. ej. mediante herramientas del navegador) que los datos de sesión fueron eliminados.</t>
  </si>
  <si>
    <t>El sistema elimina los datos de sesión inmediatamente después del cierre de sesión.</t>
  </si>
  <si>
    <t>CP-RNF-006</t>
  </si>
  <si>
    <t>Rendimiento - Pacientes</t>
  </si>
  <si>
    <t>RNF3.2.1</t>
  </si>
  <si>
    <t>El usuario (secretaria/administrador) tiene una sesión iniciada en el sistema. Existe al menos un paciente registrado en el sistema. Existe un volumen representativo de pacientes registrados.</t>
  </si>
  <si>
    <t>1. Acceder a la sección 'Pacientes'.
2. Medir el tiempo de carga del listado.</t>
  </si>
  <si>
    <t>La lista de pacientes se carga en menos de 2 segundos bajo condiciones de red óptimas.</t>
  </si>
  <si>
    <t>Seguridad - Pacientes</t>
  </si>
  <si>
    <t>RNF3.2.7</t>
  </si>
  <si>
    <t>1. Revisar los mecanismos de acceso y almacenamiento de los datos del paciente.
2. Verificar que solo usuarios autenticados y autorizados puedan consultar la información.</t>
  </si>
  <si>
    <t>El sistema protege la confidencialidad de los datos del paciente conforme a la LFPDPPP/GDPR, restringiendo el acceso a personal autorizado.</t>
  </si>
  <si>
    <t>Rendimiento - Citas</t>
  </si>
  <si>
    <t>RNF5.1.2</t>
  </si>
  <si>
    <t>1. Completar y confirmar el agendado de una cita.
2. Medir el tiempo de generación del folio.</t>
  </si>
  <si>
    <t>El folio de la cita se genera automáticamente en un tiempo no mayor a 2 segundos.</t>
  </si>
  <si>
    <t>RNF5.1.4</t>
  </si>
  <si>
    <t>El usuario (secretaria/administrador) tiene una sesión iniciada en el sistema. Existen pacientes, terapeutas y salas registrados, con disponibilidad de horario. Existe un volumen representativo de citas registradas.</t>
  </si>
  <si>
    <t>Búsqueda por estado, terapeuta, sala y periodo de tiempo.</t>
  </si>
  <si>
    <t>1. Acceder al listado de citas.
2. Ejecutar búsquedas filtrando por estado, terapeuta, sala y periodo de tiempo.
3. Medir el tiempo de respuesta de cada búsqueda.</t>
  </si>
  <si>
    <t>Cada búsqueda de citas responde en un tiempo no mayor a 5 segundos.</t>
  </si>
  <si>
    <t>Rendimiento - Agenda</t>
  </si>
  <si>
    <t>RNF6.1</t>
  </si>
  <si>
    <t>1. Acceder a la agenda.
2. Cambiar entre las vistas de día, semana y mes.
3. Medir el tiempo de cambio de vista.</t>
  </si>
  <si>
    <t>El cambio entre vistas de agenda (día, semana, mes) se completa en menos de 2 segundos.</t>
  </si>
  <si>
    <t>RNF6.3</t>
  </si>
  <si>
    <t>1. Seleccionar una fecha en la agenda.
2. Elegir la opción 'Imprimir'.
3. Medir el tiempo de generación del archivo.</t>
  </si>
  <si>
    <t>El sistema genera el archivo listo para impresión de la agenda en menos de 5 segundos.</t>
  </si>
  <si>
    <t>Rendimiento - Página de inicio</t>
  </si>
  <si>
    <t>RNF7.1</t>
  </si>
  <si>
    <t>El usuario inicia sesión correctamente.</t>
  </si>
  <si>
    <t>1. Iniciar sesión en el sistema.
2. Medir el tiempo de carga completa de la pantalla de inicio.</t>
  </si>
  <si>
    <t>La pantalla de inicio se muestra completamente en menos de 2 segundos bajo condiciones de red óptimas.</t>
  </si>
  <si>
    <t>Seguridad - General</t>
  </si>
  <si>
    <t>Atributo de Seguridad 3.7.3 (cifrado de contraseñas)</t>
  </si>
  <si>
    <t>Existen usuarios registrados en la base de datos.</t>
  </si>
  <si>
    <t>1. Registrar un nuevo usuario con una contraseña conocida.
2. Verificar en la base de datos cómo se almacena el valor de la contraseña.</t>
  </si>
  <si>
    <t>La contraseña se almacena cifrada mediante un algoritmo seguro; en ningún caso se guarda en texto plano.</t>
  </si>
  <si>
    <t>Atributo de Seguridad 3.7.3 (autenticación institucional UADY)</t>
  </si>
  <si>
    <t>Credenciales   e credenciales no institucionales.</t>
  </si>
  <si>
    <t>1. Intentar acceder al sistema con credenciales   válidas.
2. Intentar acceder con credenciales no institucionales o inexistentes.</t>
  </si>
  <si>
    <t>El sistema únicamente concede acceso a usuarios con credenciales   válidas y registradas.</t>
  </si>
  <si>
    <t>Confiabilidad - General</t>
  </si>
  <si>
    <t>Atributo de Confiabilidad 3.7.1 (recuperación ante errores)</t>
  </si>
  <si>
    <t>No funcional - Confiabilidad</t>
  </si>
  <si>
    <t>Formulario con información parcialmente capturada.</t>
  </si>
  <si>
    <t>1. Iniciar el llenado de un formulario (p. ej. registro de cita).
2. Forzar/simular un error interno del sistema (p. ej. pérdida de conexión) antes de guardar.
3. Restablecer la conexión.</t>
  </si>
  <si>
    <t>El sistema conserva la información ingresada por el usuario y le notifica la situación junto con los posibles pasos a seguir, sin pérdida total de datos.</t>
  </si>
  <si>
    <t>Portabilidad - General</t>
  </si>
  <si>
    <t>Atributo de Portabilidad 3.7.5.1</t>
  </si>
  <si>
    <t>No funcional - Portabilidad</t>
  </si>
  <si>
    <t>Navegadores: Chrome, Edge.</t>
  </si>
  <si>
    <t>1. Acceder al sistema desde distintos navegadores web modernos (Chrome, Firefox, Edge).
2. Verificar el funcionamiento de las pantallas principales en cada uno.</t>
  </si>
  <si>
    <t>El sistema funciona correctamente y sin errores visuales o funcionales en cualquier navegador web moderno.</t>
  </si>
  <si>
    <t>Usabilidad/Portabilidad - General</t>
  </si>
  <si>
    <t>Atributo de Portabilidad 3.7.5.3</t>
  </si>
  <si>
    <t>No funcional - Usabilidad</t>
  </si>
  <si>
    <t>Dispositivos: computadora de escritorio, laptop, tablet.</t>
  </si>
  <si>
    <t>1. Acceder al sistema desde una computadora de escritorio.
2. Repetir el acceso desde una laptop y desde una tablet.
3. Verificar que la interfaz se adapte y conserve la funcionalidad en cada dispositivo.</t>
  </si>
  <si>
    <t>La interfaz se adapta correctamente a cada tipo de dispositivo sin pérdida de funcionalidad.</t>
  </si>
  <si>
    <t>Resumen de ejecución — Casos de Prueba PsicoGestión</t>
  </si>
  <si>
    <t>Avance por módulo</t>
  </si>
  <si>
    <t>Total</t>
  </si>
  <si>
    <t>Aprobado</t>
  </si>
  <si>
    <t>Fallido</t>
  </si>
  <si>
    <t>TOTAL</t>
  </si>
  <si>
    <t>Avance por prioridad</t>
  </si>
  <si>
    <t>Total general de casos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</si>
</sst>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10"/>
      <color rgb="FF555555"/>
      <name val="Calibri"/>
      <family val="2"/>
    </font>
    <font>
      <b/>
      <sz val="12"/>
      <color rgb="FF002E5F"/>
      <name val="Calibri"/>
      <family val="2"/>
    </font>
    <font>
      <sz val="10.5"/>
      <color rgb="FF222222"/>
      <name val="Calibri"/>
      <family val="2"/>
    </font>
    <font>
      <b/>
      <sz val="10.5"/>
      <color rgb="FF002E5F"/>
      <name val="Calibri"/>
      <family val="2"/>
    </font>
    <font>
      <b/>
      <sz val="10.5"/>
      <color rgb="FFFFFFFF"/>
      <name val="Calibri"/>
      <family val="2"/>
    </font>
    <font>
      <b/>
      <sz val="10"/>
      <color rgb="FF002E5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E5F"/>
        <bgColor rgb="FF222222"/>
      </patternFill>
    </fill>
    <fill>
      <patternFill patternType="solid">
        <fgColor rgb="FFE8EEF5"/>
        <bgColor rgb="FFF1EAF7"/>
      </patternFill>
    </fill>
    <fill>
      <patternFill patternType="solid">
        <fgColor rgb="FFFDF2E3"/>
        <bgColor rgb="FFFBF0DA"/>
      </patternFill>
    </fill>
    <fill>
      <patternFill patternType="solid">
        <fgColor rgb="FFF1EAF7"/>
        <bgColor rgb="FFE8EEF5"/>
      </patternFill>
    </fill>
    <fill>
      <patternFill patternType="solid">
        <fgColor rgb="FFFBF0DA"/>
        <bgColor rgb="FFFDF2E3"/>
      </patternFill>
    </fill>
    <fill>
      <patternFill patternType="solid">
        <fgColor rgb="FFC79316"/>
        <bgColor rgb="FF808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1" fillId="6" borderId="0" xfId="0" applyFont="1" applyFill="1"/>
    <xf numFmtId="0" fontId="11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1" fillId="0" borderId="0" xfId="0" applyFont="1"/>
    <xf numFmtId="0" fontId="7" fillId="0" borderId="0" xfId="0" applyFont="1"/>
    <xf numFmtId="0" fontId="4" fillId="0" borderId="0" xfId="0" applyFont="1" applyAlignment="1">
      <alignment vertical="top" wrapText="1"/>
    </xf>
    <xf numFmtId="0" fontId="1" fillId="2" borderId="0" xfId="0" applyFont="1" applyFill="1" applyAlignment="1"/>
    <xf numFmtId="0" fontId="2" fillId="0" borderId="0" xfId="0" applyFont="1" applyAlignment="1"/>
    <xf numFmtId="0" fontId="9" fillId="2" borderId="0" xfId="0" applyFont="1" applyFill="1" applyAlignment="1"/>
  </cellXfs>
  <cellStyles count="1">
    <cellStyle name="Normal" xfId="0" builtinId="0"/>
  </cellStyles>
  <dxfs count="4">
    <dxf>
      <fill>
        <patternFill>
          <bgColor rgb="FFFFF2B2"/>
        </patternFill>
      </fill>
    </dxf>
    <dxf>
      <fill>
        <patternFill>
          <bgColor rgb="FFF8CBCB"/>
        </patternFill>
      </fill>
    </dxf>
    <dxf>
      <fill>
        <patternFill>
          <bgColor rgb="FFC6E7CE"/>
        </patternFill>
      </fill>
    </dxf>
    <dxf>
      <font>
        <b/>
        <sz val="10"/>
        <color rgb="FFB00020"/>
        <name val="Calibri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DF2E3"/>
      <rgbColor rgb="FFE8EEF5"/>
      <rgbColor rgb="FF660066"/>
      <rgbColor rgb="FFFF8080"/>
      <rgbColor rgb="FF0066CC"/>
      <rgbColor rgb="FFFBF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AF7"/>
      <rgbColor rgb="FFC6E7CE"/>
      <rgbColor rgb="FFFFF2B2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C79316"/>
      <rgbColor rgb="FFFF6600"/>
      <rgbColor rgb="FF555555"/>
      <rgbColor rgb="FF969696"/>
      <rgbColor rgb="FF002E5F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6"/>
  <sheetViews>
    <sheetView showGridLines="0" zoomScaleNormal="100" workbookViewId="0"/>
  </sheetViews>
  <sheetFormatPr defaultColWidth="8.7109375" defaultRowHeight="15"/>
  <cols>
    <col min="1" max="1" width="3" customWidth="1"/>
    <col min="2" max="2" width="34" customWidth="1"/>
    <col min="3" max="3" width="95" customWidth="1"/>
  </cols>
  <sheetData>
    <row r="2" spans="2:3" ht="30" customHeight="1">
      <c r="B2" s="24" t="s">
        <v>0</v>
      </c>
      <c r="C2" s="24"/>
    </row>
    <row r="3" spans="2:3">
      <c r="B3" s="25" t="s">
        <v>1</v>
      </c>
      <c r="C3" s="25"/>
    </row>
    <row r="5" spans="2:3" ht="15.95">
      <c r="B5" s="2" t="s">
        <v>2</v>
      </c>
    </row>
    <row r="6" spans="2:3" ht="54.75" customHeight="1">
      <c r="B6" s="23" t="s">
        <v>3</v>
      </c>
      <c r="C6" s="23"/>
    </row>
    <row r="8" spans="2:3" ht="15.95">
      <c r="B8" s="2" t="s">
        <v>4</v>
      </c>
    </row>
    <row r="9" spans="2:3" ht="42" customHeight="1">
      <c r="B9" s="3" t="s">
        <v>5</v>
      </c>
      <c r="C9" s="1" t="s">
        <v>6</v>
      </c>
    </row>
    <row r="10" spans="2:3" ht="42" customHeight="1">
      <c r="B10" s="3" t="s">
        <v>7</v>
      </c>
      <c r="C10" s="1" t="s">
        <v>8</v>
      </c>
    </row>
    <row r="11" spans="2:3" ht="42" customHeight="1">
      <c r="B11" s="3" t="s">
        <v>9</v>
      </c>
      <c r="C11" s="1" t="s">
        <v>10</v>
      </c>
    </row>
    <row r="12" spans="2:3" ht="42" customHeight="1">
      <c r="B12" s="3" t="s">
        <v>11</v>
      </c>
      <c r="C12" s="1" t="s">
        <v>12</v>
      </c>
    </row>
    <row r="13" spans="2:3" ht="42" customHeight="1">
      <c r="B13" s="3" t="s">
        <v>13</v>
      </c>
      <c r="C13" s="1" t="s">
        <v>14</v>
      </c>
    </row>
    <row r="15" spans="2:3" ht="15.95">
      <c r="B15" s="2" t="s">
        <v>15</v>
      </c>
    </row>
    <row r="16" spans="2:3" ht="75" customHeight="1">
      <c r="B16" s="23" t="s">
        <v>16</v>
      </c>
      <c r="C16" s="23"/>
    </row>
    <row r="18" spans="2:3" ht="15.95">
      <c r="B18" s="2" t="s">
        <v>17</v>
      </c>
    </row>
    <row r="19" spans="2:3" ht="30" customHeight="1">
      <c r="B19" s="4" t="s">
        <v>18</v>
      </c>
      <c r="C19" s="1" t="s">
        <v>19</v>
      </c>
    </row>
    <row r="20" spans="2:3" ht="30" customHeight="1">
      <c r="B20" s="4" t="s">
        <v>20</v>
      </c>
      <c r="C20" s="1" t="s">
        <v>21</v>
      </c>
    </row>
    <row r="21" spans="2:3" ht="30" customHeight="1">
      <c r="B21" s="4" t="s">
        <v>22</v>
      </c>
      <c r="C21" s="1" t="s">
        <v>23</v>
      </c>
    </row>
    <row r="22" spans="2:3" ht="30" customHeight="1">
      <c r="B22" s="4" t="s">
        <v>24</v>
      </c>
      <c r="C22" s="1" t="s">
        <v>25</v>
      </c>
    </row>
    <row r="24" spans="2:3" ht="15.95">
      <c r="B24" s="2" t="s">
        <v>26</v>
      </c>
    </row>
    <row r="25" spans="2:3" ht="69.75" customHeight="1">
      <c r="B25" s="23" t="s">
        <v>27</v>
      </c>
      <c r="C25" s="23"/>
    </row>
    <row r="27" spans="2:3" ht="15.95">
      <c r="B27" s="2" t="s">
        <v>28</v>
      </c>
    </row>
    <row r="28" spans="2:3" ht="18" customHeight="1">
      <c r="B28" s="23" t="s">
        <v>29</v>
      </c>
      <c r="C28" s="23"/>
    </row>
    <row r="29" spans="2:3" ht="18" customHeight="1">
      <c r="B29" s="23" t="s">
        <v>30</v>
      </c>
      <c r="C29" s="23"/>
    </row>
    <row r="30" spans="2:3" ht="18" customHeight="1">
      <c r="B30" s="23" t="s">
        <v>31</v>
      </c>
      <c r="C30" s="23"/>
    </row>
    <row r="31" spans="2:3" ht="18" customHeight="1">
      <c r="B31" s="23" t="s">
        <v>32</v>
      </c>
      <c r="C31" s="23"/>
    </row>
    <row r="32" spans="2:3" ht="18" customHeight="1">
      <c r="B32" s="23" t="s">
        <v>33</v>
      </c>
      <c r="C32" s="23"/>
    </row>
    <row r="33" spans="2:3" ht="18" customHeight="1">
      <c r="B33" s="23" t="s">
        <v>34</v>
      </c>
      <c r="C33" s="23"/>
    </row>
    <row r="35" spans="2:3" ht="15.95">
      <c r="B35" s="2" t="s">
        <v>35</v>
      </c>
    </row>
    <row r="36" spans="2:3" ht="109.5" customHeight="1">
      <c r="B36" s="23" t="s">
        <v>36</v>
      </c>
      <c r="C36" s="23"/>
    </row>
  </sheetData>
  <mergeCells count="12">
    <mergeCell ref="B33:C33"/>
    <mergeCell ref="B36:C36"/>
    <mergeCell ref="B28:C28"/>
    <mergeCell ref="B29:C29"/>
    <mergeCell ref="B30:C30"/>
    <mergeCell ref="B31:C31"/>
    <mergeCell ref="B32:C32"/>
    <mergeCell ref="B2:C2"/>
    <mergeCell ref="B3:C3"/>
    <mergeCell ref="B6:C6"/>
    <mergeCell ref="B16:C16"/>
    <mergeCell ref="B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"/>
  <sheetViews>
    <sheetView showGridLines="0" tabSelected="1" zoomScaleNormal="100" workbookViewId="0">
      <pane ySplit="1" topLeftCell="H2" activePane="bottomLeft" state="frozen"/>
      <selection pane="bottomLeft" activeCell="L3" sqref="L3"/>
    </sheetView>
  </sheetViews>
  <sheetFormatPr defaultColWidth="8.7109375" defaultRowHeight="15"/>
  <cols>
    <col min="1" max="1" width="13" customWidth="1"/>
    <col min="2" max="4" width="30" customWidth="1"/>
    <col min="5" max="5" width="20" customWidth="1"/>
    <col min="6" max="6" width="11" customWidth="1"/>
    <col min="7" max="7" width="34" customWidth="1"/>
    <col min="8" max="8" width="30" customWidth="1"/>
    <col min="9" max="10" width="42" customWidth="1"/>
    <col min="11" max="11" width="30" customWidth="1"/>
    <col min="12" max="12" width="13" customWidth="1"/>
    <col min="13" max="13" width="26" customWidth="1"/>
  </cols>
  <sheetData>
    <row r="1" spans="1:13" ht="31.5" customHeight="1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26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</row>
    <row r="2" spans="1:13" ht="90" customHeight="1">
      <c r="A2" s="6" t="s">
        <v>49</v>
      </c>
      <c r="B2" s="7" t="s">
        <v>50</v>
      </c>
      <c r="C2" s="7" t="s">
        <v>51</v>
      </c>
      <c r="D2" s="7" t="s">
        <v>52</v>
      </c>
      <c r="E2" s="7" t="s">
        <v>18</v>
      </c>
      <c r="F2" s="8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/>
      <c r="L2" s="8" t="s">
        <v>58</v>
      </c>
      <c r="M2" s="7"/>
    </row>
    <row r="3" spans="1:13" ht="90" customHeight="1">
      <c r="A3" s="6" t="s">
        <v>59</v>
      </c>
      <c r="B3" s="7" t="s">
        <v>50</v>
      </c>
      <c r="C3" s="7" t="s">
        <v>51</v>
      </c>
      <c r="D3" s="7" t="s">
        <v>60</v>
      </c>
      <c r="E3" s="7" t="s">
        <v>22</v>
      </c>
      <c r="F3" s="8" t="s">
        <v>61</v>
      </c>
      <c r="G3" s="7" t="s">
        <v>62</v>
      </c>
      <c r="H3" s="7" t="s">
        <v>63</v>
      </c>
      <c r="I3" s="7" t="s">
        <v>64</v>
      </c>
      <c r="J3" s="7" t="s">
        <v>65</v>
      </c>
      <c r="K3" s="7"/>
      <c r="L3" s="8" t="s">
        <v>58</v>
      </c>
      <c r="M3" s="7"/>
    </row>
    <row r="4" spans="1:13" ht="90" customHeight="1">
      <c r="A4" s="6" t="s">
        <v>66</v>
      </c>
      <c r="B4" s="7" t="s">
        <v>50</v>
      </c>
      <c r="C4" s="7" t="s">
        <v>51</v>
      </c>
      <c r="D4" s="7" t="s">
        <v>60</v>
      </c>
      <c r="E4" s="7" t="s">
        <v>22</v>
      </c>
      <c r="F4" s="8" t="s">
        <v>61</v>
      </c>
      <c r="G4" s="7" t="s">
        <v>62</v>
      </c>
      <c r="H4" s="7" t="s">
        <v>67</v>
      </c>
      <c r="I4" s="7" t="s">
        <v>68</v>
      </c>
      <c r="J4" s="7" t="s">
        <v>69</v>
      </c>
      <c r="K4" s="7"/>
      <c r="L4" s="8" t="s">
        <v>58</v>
      </c>
      <c r="M4" s="7"/>
    </row>
    <row r="5" spans="1:13" ht="90" customHeight="1">
      <c r="A5" s="6" t="s">
        <v>70</v>
      </c>
      <c r="B5" s="7" t="s">
        <v>50</v>
      </c>
      <c r="C5" s="7" t="s">
        <v>51</v>
      </c>
      <c r="D5" s="7" t="s">
        <v>71</v>
      </c>
      <c r="E5" s="7" t="s">
        <v>20</v>
      </c>
      <c r="F5" s="8" t="s">
        <v>53</v>
      </c>
      <c r="G5" s="7" t="s">
        <v>72</v>
      </c>
      <c r="H5" s="7" t="s">
        <v>73</v>
      </c>
      <c r="I5" s="7" t="s">
        <v>74</v>
      </c>
      <c r="J5" s="7" t="s">
        <v>75</v>
      </c>
      <c r="K5" s="7"/>
      <c r="L5" s="8" t="s">
        <v>58</v>
      </c>
      <c r="M5" s="7"/>
    </row>
    <row r="6" spans="1:13" ht="90" customHeight="1">
      <c r="A6" s="6" t="s">
        <v>76</v>
      </c>
      <c r="B6" s="7" t="s">
        <v>50</v>
      </c>
      <c r="C6" s="7" t="s">
        <v>51</v>
      </c>
      <c r="D6" s="7" t="s">
        <v>77</v>
      </c>
      <c r="E6" s="7" t="s">
        <v>20</v>
      </c>
      <c r="F6" s="8" t="s">
        <v>53</v>
      </c>
      <c r="G6" s="7" t="s">
        <v>62</v>
      </c>
      <c r="H6" s="7" t="s">
        <v>78</v>
      </c>
      <c r="I6" s="7" t="s">
        <v>79</v>
      </c>
      <c r="J6" s="7" t="s">
        <v>80</v>
      </c>
      <c r="K6" s="7"/>
      <c r="L6" s="8" t="s">
        <v>58</v>
      </c>
      <c r="M6" s="7"/>
    </row>
    <row r="7" spans="1:13" ht="90" customHeight="1">
      <c r="A7" s="6" t="s">
        <v>81</v>
      </c>
      <c r="B7" s="7" t="s">
        <v>50</v>
      </c>
      <c r="C7" s="7" t="s">
        <v>51</v>
      </c>
      <c r="D7" s="7" t="s">
        <v>82</v>
      </c>
      <c r="E7" s="7" t="s">
        <v>20</v>
      </c>
      <c r="F7" s="8" t="s">
        <v>53</v>
      </c>
      <c r="G7" s="7" t="s">
        <v>83</v>
      </c>
      <c r="H7" s="7" t="s">
        <v>84</v>
      </c>
      <c r="I7" s="7" t="s">
        <v>85</v>
      </c>
      <c r="J7" s="7" t="s">
        <v>86</v>
      </c>
      <c r="K7" s="7"/>
      <c r="L7" s="8" t="s">
        <v>58</v>
      </c>
      <c r="M7" s="7"/>
    </row>
    <row r="8" spans="1:13" ht="90" customHeight="1">
      <c r="A8" s="6" t="s">
        <v>87</v>
      </c>
      <c r="B8" s="7" t="s">
        <v>50</v>
      </c>
      <c r="C8" s="7" t="s">
        <v>51</v>
      </c>
      <c r="D8" s="7" t="s">
        <v>88</v>
      </c>
      <c r="E8" s="7" t="s">
        <v>20</v>
      </c>
      <c r="F8" s="8" t="s">
        <v>61</v>
      </c>
      <c r="G8" s="7" t="s">
        <v>62</v>
      </c>
      <c r="H8" s="7" t="s">
        <v>89</v>
      </c>
      <c r="I8" s="7" t="s">
        <v>90</v>
      </c>
      <c r="J8" s="7" t="s">
        <v>91</v>
      </c>
      <c r="K8" s="7"/>
      <c r="L8" s="8" t="s">
        <v>58</v>
      </c>
      <c r="M8" s="7"/>
    </row>
    <row r="9" spans="1:13" ht="90" customHeight="1">
      <c r="A9" s="6" t="s">
        <v>92</v>
      </c>
      <c r="B9" s="7" t="s">
        <v>50</v>
      </c>
      <c r="C9" s="7" t="s">
        <v>51</v>
      </c>
      <c r="D9" s="7" t="s">
        <v>93</v>
      </c>
      <c r="E9" s="7" t="s">
        <v>18</v>
      </c>
      <c r="F9" s="8" t="s">
        <v>53</v>
      </c>
      <c r="G9" s="7" t="s">
        <v>94</v>
      </c>
      <c r="H9" s="7" t="s">
        <v>95</v>
      </c>
      <c r="I9" s="7" t="s">
        <v>96</v>
      </c>
      <c r="J9" s="7" t="s">
        <v>97</v>
      </c>
      <c r="K9" s="7"/>
      <c r="L9" s="8" t="s">
        <v>58</v>
      </c>
      <c r="M9" s="7"/>
    </row>
    <row r="10" spans="1:13" ht="90" customHeight="1">
      <c r="A10" s="6" t="s">
        <v>98</v>
      </c>
      <c r="B10" s="7" t="s">
        <v>50</v>
      </c>
      <c r="C10" s="7" t="s">
        <v>51</v>
      </c>
      <c r="D10" s="7" t="s">
        <v>99</v>
      </c>
      <c r="E10" s="7" t="s">
        <v>20</v>
      </c>
      <c r="F10" s="8" t="s">
        <v>53</v>
      </c>
      <c r="G10" s="7" t="s">
        <v>100</v>
      </c>
      <c r="H10" s="7" t="s">
        <v>101</v>
      </c>
      <c r="I10" s="7" t="s">
        <v>102</v>
      </c>
      <c r="J10" s="7" t="s">
        <v>103</v>
      </c>
      <c r="K10" s="7"/>
      <c r="L10" s="8" t="s">
        <v>58</v>
      </c>
      <c r="M10" s="7"/>
    </row>
    <row r="11" spans="1:13" ht="90" customHeight="1">
      <c r="A11" s="6" t="s">
        <v>104</v>
      </c>
      <c r="B11" s="7" t="s">
        <v>50</v>
      </c>
      <c r="C11" s="7" t="s">
        <v>51</v>
      </c>
      <c r="D11" s="7" t="s">
        <v>105</v>
      </c>
      <c r="E11" s="7" t="s">
        <v>22</v>
      </c>
      <c r="F11" s="8" t="s">
        <v>53</v>
      </c>
      <c r="G11" s="7" t="s">
        <v>62</v>
      </c>
      <c r="H11" s="7" t="s">
        <v>106</v>
      </c>
      <c r="I11" s="7" t="s">
        <v>107</v>
      </c>
      <c r="J11" s="7" t="s">
        <v>108</v>
      </c>
      <c r="K11" s="7"/>
      <c r="L11" s="8" t="s">
        <v>58</v>
      </c>
      <c r="M11" s="7"/>
    </row>
    <row r="12" spans="1:13" ht="90" customHeight="1">
      <c r="A12" s="6" t="s">
        <v>109</v>
      </c>
      <c r="B12" s="7" t="s">
        <v>50</v>
      </c>
      <c r="C12" s="7" t="s">
        <v>51</v>
      </c>
      <c r="D12" s="7" t="s">
        <v>105</v>
      </c>
      <c r="E12" s="7" t="s">
        <v>22</v>
      </c>
      <c r="F12" s="8" t="s">
        <v>61</v>
      </c>
      <c r="G12" s="7" t="s">
        <v>62</v>
      </c>
      <c r="H12" s="7" t="s">
        <v>110</v>
      </c>
      <c r="I12" s="7" t="s">
        <v>111</v>
      </c>
      <c r="J12" s="7" t="s">
        <v>112</v>
      </c>
      <c r="K12" s="7"/>
      <c r="L12" s="8" t="s">
        <v>58</v>
      </c>
      <c r="M12" s="7"/>
    </row>
    <row r="13" spans="1:13" ht="90" customHeight="1">
      <c r="A13" s="6" t="s">
        <v>113</v>
      </c>
      <c r="B13" s="7" t="s">
        <v>50</v>
      </c>
      <c r="C13" s="7" t="s">
        <v>51</v>
      </c>
      <c r="D13" s="7" t="s">
        <v>114</v>
      </c>
      <c r="E13" s="7" t="s">
        <v>20</v>
      </c>
      <c r="F13" s="8" t="s">
        <v>53</v>
      </c>
      <c r="G13" s="7" t="s">
        <v>62</v>
      </c>
      <c r="H13" s="7" t="s">
        <v>115</v>
      </c>
      <c r="I13" s="7" t="s">
        <v>116</v>
      </c>
      <c r="J13" s="7" t="s">
        <v>117</v>
      </c>
      <c r="K13" s="7"/>
      <c r="L13" s="8" t="s">
        <v>58</v>
      </c>
      <c r="M13" s="7"/>
    </row>
    <row r="14" spans="1:13" ht="90" customHeight="1">
      <c r="A14" s="6" t="s">
        <v>118</v>
      </c>
      <c r="B14" s="7" t="s">
        <v>50</v>
      </c>
      <c r="C14" s="7" t="s">
        <v>51</v>
      </c>
      <c r="D14" s="7" t="s">
        <v>119</v>
      </c>
      <c r="E14" s="7" t="s">
        <v>20</v>
      </c>
      <c r="F14" s="8" t="s">
        <v>53</v>
      </c>
      <c r="G14" s="7" t="s">
        <v>62</v>
      </c>
      <c r="H14" s="7" t="s">
        <v>120</v>
      </c>
      <c r="I14" s="7" t="s">
        <v>121</v>
      </c>
      <c r="J14" s="7" t="s">
        <v>122</v>
      </c>
      <c r="K14" s="7"/>
      <c r="L14" s="8" t="s">
        <v>58</v>
      </c>
      <c r="M14" s="7"/>
    </row>
    <row r="15" spans="1:13" ht="90" customHeight="1">
      <c r="A15" s="6" t="s">
        <v>123</v>
      </c>
      <c r="B15" s="7" t="s">
        <v>50</v>
      </c>
      <c r="C15" s="7" t="s">
        <v>51</v>
      </c>
      <c r="D15" s="7" t="s">
        <v>124</v>
      </c>
      <c r="E15" s="7" t="s">
        <v>20</v>
      </c>
      <c r="F15" s="8" t="s">
        <v>53</v>
      </c>
      <c r="G15" s="7" t="s">
        <v>62</v>
      </c>
      <c r="H15" s="7" t="s">
        <v>125</v>
      </c>
      <c r="I15" s="7" t="s">
        <v>126</v>
      </c>
      <c r="J15" s="7" t="s">
        <v>127</v>
      </c>
      <c r="K15" s="7"/>
      <c r="L15" s="8" t="s">
        <v>58</v>
      </c>
      <c r="M15" s="7"/>
    </row>
    <row r="16" spans="1:13" ht="90" customHeight="1">
      <c r="A16" s="6" t="s">
        <v>128</v>
      </c>
      <c r="B16" s="7" t="s">
        <v>50</v>
      </c>
      <c r="C16" s="7" t="s">
        <v>51</v>
      </c>
      <c r="D16" s="7" t="s">
        <v>129</v>
      </c>
      <c r="E16" s="7" t="s">
        <v>20</v>
      </c>
      <c r="F16" s="8" t="s">
        <v>53</v>
      </c>
      <c r="G16" s="7" t="s">
        <v>62</v>
      </c>
      <c r="H16" s="7" t="s">
        <v>130</v>
      </c>
      <c r="I16" s="7" t="s">
        <v>131</v>
      </c>
      <c r="J16" s="7" t="s">
        <v>132</v>
      </c>
      <c r="K16" s="7"/>
      <c r="L16" s="8" t="s">
        <v>58</v>
      </c>
      <c r="M16" s="7"/>
    </row>
    <row r="17" spans="1:13" ht="90" customHeight="1">
      <c r="A17" s="6" t="s">
        <v>133</v>
      </c>
      <c r="B17" s="7" t="s">
        <v>50</v>
      </c>
      <c r="C17" s="7" t="s">
        <v>134</v>
      </c>
      <c r="D17" s="7" t="s">
        <v>135</v>
      </c>
      <c r="E17" s="7" t="s">
        <v>18</v>
      </c>
      <c r="F17" s="8" t="s">
        <v>53</v>
      </c>
      <c r="G17" s="7" t="s">
        <v>136</v>
      </c>
      <c r="H17" s="7" t="s">
        <v>137</v>
      </c>
      <c r="I17" s="7" t="s">
        <v>138</v>
      </c>
      <c r="J17" s="7" t="s">
        <v>139</v>
      </c>
      <c r="K17" s="7"/>
      <c r="L17" s="8" t="s">
        <v>58</v>
      </c>
      <c r="M17" s="7"/>
    </row>
    <row r="18" spans="1:13" ht="90" customHeight="1">
      <c r="A18" s="6" t="s">
        <v>140</v>
      </c>
      <c r="B18" s="7" t="s">
        <v>50</v>
      </c>
      <c r="C18" s="7" t="s">
        <v>134</v>
      </c>
      <c r="D18" s="7" t="s">
        <v>141</v>
      </c>
      <c r="E18" s="7" t="s">
        <v>18</v>
      </c>
      <c r="F18" s="8" t="s">
        <v>53</v>
      </c>
      <c r="G18" s="7" t="s">
        <v>136</v>
      </c>
      <c r="H18" s="7" t="s">
        <v>142</v>
      </c>
      <c r="I18" s="7" t="s">
        <v>143</v>
      </c>
      <c r="J18" s="7" t="s">
        <v>139</v>
      </c>
      <c r="K18" s="7"/>
      <c r="L18" s="8" t="s">
        <v>58</v>
      </c>
      <c r="M18" s="7"/>
    </row>
    <row r="19" spans="1:13" ht="90" customHeight="1">
      <c r="A19" s="6" t="s">
        <v>144</v>
      </c>
      <c r="B19" s="7" t="s">
        <v>50</v>
      </c>
      <c r="C19" s="7" t="s">
        <v>134</v>
      </c>
      <c r="D19" s="7" t="s">
        <v>145</v>
      </c>
      <c r="E19" s="7" t="s">
        <v>20</v>
      </c>
      <c r="F19" s="8" t="s">
        <v>53</v>
      </c>
      <c r="G19" s="7" t="s">
        <v>136</v>
      </c>
      <c r="H19" s="7" t="s">
        <v>146</v>
      </c>
      <c r="I19" s="7" t="s">
        <v>147</v>
      </c>
      <c r="J19" s="7" t="s">
        <v>148</v>
      </c>
      <c r="K19" s="7"/>
      <c r="L19" s="8" t="s">
        <v>58</v>
      </c>
      <c r="M19" s="7"/>
    </row>
    <row r="20" spans="1:13" ht="90" customHeight="1">
      <c r="A20" s="6" t="s">
        <v>149</v>
      </c>
      <c r="B20" s="7" t="s">
        <v>50</v>
      </c>
      <c r="C20" s="7" t="s">
        <v>134</v>
      </c>
      <c r="D20" s="7" t="s">
        <v>150</v>
      </c>
      <c r="E20" s="7" t="s">
        <v>20</v>
      </c>
      <c r="F20" s="8" t="s">
        <v>53</v>
      </c>
      <c r="G20" s="7" t="s">
        <v>151</v>
      </c>
      <c r="H20" s="7" t="s">
        <v>152</v>
      </c>
      <c r="I20" s="7" t="s">
        <v>153</v>
      </c>
      <c r="J20" s="7" t="s">
        <v>154</v>
      </c>
      <c r="K20" s="7"/>
      <c r="L20" s="8" t="s">
        <v>58</v>
      </c>
      <c r="M20" s="7"/>
    </row>
    <row r="21" spans="1:13" ht="90" customHeight="1">
      <c r="A21" s="6" t="s">
        <v>155</v>
      </c>
      <c r="B21" s="7" t="s">
        <v>50</v>
      </c>
      <c r="C21" s="7" t="s">
        <v>156</v>
      </c>
      <c r="D21" s="7" t="s">
        <v>157</v>
      </c>
      <c r="E21" s="7" t="s">
        <v>18</v>
      </c>
      <c r="F21" s="8" t="s">
        <v>61</v>
      </c>
      <c r="G21" s="7" t="s">
        <v>158</v>
      </c>
      <c r="H21" s="7" t="s">
        <v>159</v>
      </c>
      <c r="I21" s="7" t="s">
        <v>160</v>
      </c>
      <c r="J21" s="7" t="s">
        <v>161</v>
      </c>
      <c r="K21" s="7"/>
      <c r="L21" s="8" t="s">
        <v>58</v>
      </c>
      <c r="M21" s="7"/>
    </row>
    <row r="22" spans="1:13" ht="90" customHeight="1">
      <c r="A22" s="6" t="s">
        <v>162</v>
      </c>
      <c r="B22" s="7" t="s">
        <v>50</v>
      </c>
      <c r="C22" s="7" t="s">
        <v>156</v>
      </c>
      <c r="D22" s="7" t="s">
        <v>163</v>
      </c>
      <c r="E22" s="7" t="s">
        <v>18</v>
      </c>
      <c r="F22" s="8" t="s">
        <v>61</v>
      </c>
      <c r="G22" s="7" t="s">
        <v>158</v>
      </c>
      <c r="H22" s="7" t="s">
        <v>159</v>
      </c>
      <c r="I22" s="7" t="s">
        <v>164</v>
      </c>
      <c r="J22" s="7" t="s">
        <v>165</v>
      </c>
      <c r="K22" s="7"/>
      <c r="L22" s="8" t="s">
        <v>58</v>
      </c>
      <c r="M22" s="7"/>
    </row>
    <row r="23" spans="1:13" ht="90" customHeight="1">
      <c r="A23" s="6" t="s">
        <v>166</v>
      </c>
      <c r="B23" s="7" t="s">
        <v>50</v>
      </c>
      <c r="C23" s="7" t="s">
        <v>156</v>
      </c>
      <c r="D23" s="7" t="s">
        <v>167</v>
      </c>
      <c r="E23" s="7" t="s">
        <v>20</v>
      </c>
      <c r="F23" s="8" t="s">
        <v>61</v>
      </c>
      <c r="G23" s="7" t="s">
        <v>168</v>
      </c>
      <c r="H23" s="7" t="s">
        <v>169</v>
      </c>
      <c r="I23" s="7" t="s">
        <v>170</v>
      </c>
      <c r="J23" s="7" t="s">
        <v>171</v>
      </c>
      <c r="K23" s="7"/>
      <c r="L23" s="8" t="s">
        <v>58</v>
      </c>
      <c r="M23" s="7"/>
    </row>
    <row r="24" spans="1:13" ht="90" customHeight="1">
      <c r="A24" s="6" t="s">
        <v>172</v>
      </c>
      <c r="B24" s="7" t="s">
        <v>50</v>
      </c>
      <c r="C24" s="7" t="s">
        <v>173</v>
      </c>
      <c r="D24" s="7" t="s">
        <v>174</v>
      </c>
      <c r="E24" s="7" t="s">
        <v>18</v>
      </c>
      <c r="F24" s="8" t="s">
        <v>53</v>
      </c>
      <c r="G24" s="7" t="s">
        <v>175</v>
      </c>
      <c r="H24" s="7" t="s">
        <v>176</v>
      </c>
      <c r="I24" s="7" t="s">
        <v>177</v>
      </c>
      <c r="J24" s="7" t="s">
        <v>178</v>
      </c>
      <c r="K24" s="7"/>
      <c r="L24" s="8" t="s">
        <v>58</v>
      </c>
      <c r="M24" s="7"/>
    </row>
    <row r="25" spans="1:13" ht="90" customHeight="1">
      <c r="A25" s="6" t="s">
        <v>179</v>
      </c>
      <c r="B25" s="7" t="s">
        <v>50</v>
      </c>
      <c r="C25" s="7" t="s">
        <v>173</v>
      </c>
      <c r="D25" s="7" t="s">
        <v>180</v>
      </c>
      <c r="E25" s="7" t="s">
        <v>20</v>
      </c>
      <c r="F25" s="8" t="s">
        <v>61</v>
      </c>
      <c r="G25" s="7" t="s">
        <v>159</v>
      </c>
      <c r="H25" s="7" t="s">
        <v>181</v>
      </c>
      <c r="I25" s="7" t="s">
        <v>182</v>
      </c>
      <c r="J25" s="7" t="s">
        <v>183</v>
      </c>
      <c r="K25" s="7"/>
      <c r="L25" s="8" t="s">
        <v>58</v>
      </c>
      <c r="M25" s="7"/>
    </row>
    <row r="26" spans="1:13" ht="90" customHeight="1">
      <c r="A26" s="6" t="s">
        <v>184</v>
      </c>
      <c r="B26" s="7" t="s">
        <v>50</v>
      </c>
      <c r="C26" s="7" t="s">
        <v>173</v>
      </c>
      <c r="D26" s="7" t="s">
        <v>185</v>
      </c>
      <c r="E26" s="7" t="s">
        <v>186</v>
      </c>
      <c r="F26" s="8" t="s">
        <v>53</v>
      </c>
      <c r="G26" s="7" t="s">
        <v>159</v>
      </c>
      <c r="H26" s="7" t="s">
        <v>187</v>
      </c>
      <c r="I26" s="7" t="s">
        <v>188</v>
      </c>
      <c r="J26" s="7" t="s">
        <v>189</v>
      </c>
      <c r="K26" s="7"/>
      <c r="L26" s="8" t="s">
        <v>58</v>
      </c>
      <c r="M26" s="7"/>
    </row>
    <row r="27" spans="1:13" ht="90" customHeight="1">
      <c r="A27" s="6" t="s">
        <v>190</v>
      </c>
      <c r="B27" s="7" t="s">
        <v>50</v>
      </c>
      <c r="C27" s="7" t="s">
        <v>173</v>
      </c>
      <c r="D27" s="7" t="s">
        <v>191</v>
      </c>
      <c r="E27" s="7" t="s">
        <v>186</v>
      </c>
      <c r="F27" s="8" t="s">
        <v>61</v>
      </c>
      <c r="G27" s="7" t="s">
        <v>192</v>
      </c>
      <c r="H27" s="7" t="s">
        <v>193</v>
      </c>
      <c r="I27" s="7" t="s">
        <v>194</v>
      </c>
      <c r="J27" s="7" t="s">
        <v>195</v>
      </c>
      <c r="K27" s="7"/>
      <c r="L27" s="8" t="s">
        <v>58</v>
      </c>
      <c r="M27" s="7"/>
    </row>
    <row r="28" spans="1:13" ht="90" customHeight="1">
      <c r="A28" s="6" t="s">
        <v>196</v>
      </c>
      <c r="B28" s="7" t="s">
        <v>197</v>
      </c>
      <c r="C28" s="7" t="s">
        <v>198</v>
      </c>
      <c r="D28" s="7" t="s">
        <v>199</v>
      </c>
      <c r="E28" s="7" t="s">
        <v>18</v>
      </c>
      <c r="F28" s="8" t="s">
        <v>53</v>
      </c>
      <c r="G28" s="7" t="s">
        <v>158</v>
      </c>
      <c r="H28" s="7" t="s">
        <v>200</v>
      </c>
      <c r="I28" s="7" t="s">
        <v>201</v>
      </c>
      <c r="J28" s="7" t="s">
        <v>202</v>
      </c>
      <c r="K28" s="7"/>
      <c r="L28" s="8" t="s">
        <v>58</v>
      </c>
      <c r="M28" s="7"/>
    </row>
    <row r="29" spans="1:13" ht="90" customHeight="1">
      <c r="A29" s="6" t="s">
        <v>203</v>
      </c>
      <c r="B29" s="7" t="s">
        <v>197</v>
      </c>
      <c r="C29" s="7" t="s">
        <v>198</v>
      </c>
      <c r="D29" s="7" t="s">
        <v>204</v>
      </c>
      <c r="E29" s="7" t="s">
        <v>22</v>
      </c>
      <c r="F29" s="8" t="s">
        <v>61</v>
      </c>
      <c r="G29" s="7" t="s">
        <v>158</v>
      </c>
      <c r="H29" s="7" t="s">
        <v>63</v>
      </c>
      <c r="I29" s="7" t="s">
        <v>205</v>
      </c>
      <c r="J29" s="7" t="s">
        <v>206</v>
      </c>
      <c r="K29" s="7"/>
      <c r="L29" s="8" t="s">
        <v>58</v>
      </c>
      <c r="M29" s="7"/>
    </row>
    <row r="30" spans="1:13" ht="90" customHeight="1">
      <c r="A30" s="6" t="s">
        <v>207</v>
      </c>
      <c r="B30" s="7" t="s">
        <v>197</v>
      </c>
      <c r="C30" s="7" t="s">
        <v>198</v>
      </c>
      <c r="D30" s="7" t="s">
        <v>208</v>
      </c>
      <c r="E30" s="7" t="s">
        <v>20</v>
      </c>
      <c r="F30" s="8" t="s">
        <v>53</v>
      </c>
      <c r="G30" s="7" t="s">
        <v>209</v>
      </c>
      <c r="H30" s="7" t="s">
        <v>210</v>
      </c>
      <c r="I30" s="7" t="s">
        <v>211</v>
      </c>
      <c r="J30" s="7" t="s">
        <v>212</v>
      </c>
      <c r="K30" s="7"/>
      <c r="L30" s="8" t="s">
        <v>58</v>
      </c>
      <c r="M30" s="7"/>
    </row>
    <row r="31" spans="1:13" ht="90" customHeight="1">
      <c r="A31" s="6" t="s">
        <v>213</v>
      </c>
      <c r="B31" s="7" t="s">
        <v>197</v>
      </c>
      <c r="C31" s="7" t="s">
        <v>198</v>
      </c>
      <c r="D31" s="7" t="s">
        <v>214</v>
      </c>
      <c r="E31" s="7" t="s">
        <v>20</v>
      </c>
      <c r="F31" s="8" t="s">
        <v>53</v>
      </c>
      <c r="G31" s="7" t="s">
        <v>158</v>
      </c>
      <c r="H31" s="7" t="s">
        <v>215</v>
      </c>
      <c r="I31" s="7" t="s">
        <v>216</v>
      </c>
      <c r="J31" s="7" t="s">
        <v>217</v>
      </c>
      <c r="K31" s="7"/>
      <c r="L31" s="8" t="s">
        <v>58</v>
      </c>
      <c r="M31" s="7"/>
    </row>
    <row r="32" spans="1:13" ht="90" customHeight="1">
      <c r="A32" s="6" t="s">
        <v>218</v>
      </c>
      <c r="B32" s="7" t="s">
        <v>197</v>
      </c>
      <c r="C32" s="7" t="s">
        <v>198</v>
      </c>
      <c r="D32" s="7" t="s">
        <v>219</v>
      </c>
      <c r="E32" s="7" t="s">
        <v>220</v>
      </c>
      <c r="F32" s="8" t="s">
        <v>53</v>
      </c>
      <c r="G32" s="7" t="s">
        <v>158</v>
      </c>
      <c r="H32" s="7" t="s">
        <v>221</v>
      </c>
      <c r="I32" s="7" t="s">
        <v>222</v>
      </c>
      <c r="J32" s="7" t="s">
        <v>223</v>
      </c>
      <c r="K32" s="7"/>
      <c r="L32" s="8" t="s">
        <v>58</v>
      </c>
      <c r="M32" s="7"/>
    </row>
    <row r="33" spans="1:13" ht="90" customHeight="1">
      <c r="A33" s="6" t="s">
        <v>224</v>
      </c>
      <c r="B33" s="7" t="s">
        <v>197</v>
      </c>
      <c r="C33" s="7" t="s">
        <v>198</v>
      </c>
      <c r="D33" s="7" t="s">
        <v>219</v>
      </c>
      <c r="E33" s="7" t="s">
        <v>22</v>
      </c>
      <c r="F33" s="8" t="s">
        <v>61</v>
      </c>
      <c r="G33" s="7" t="s">
        <v>158</v>
      </c>
      <c r="H33" s="7" t="s">
        <v>225</v>
      </c>
      <c r="I33" s="7" t="s">
        <v>226</v>
      </c>
      <c r="J33" s="7" t="s">
        <v>227</v>
      </c>
      <c r="K33" s="7"/>
      <c r="L33" s="8" t="s">
        <v>58</v>
      </c>
      <c r="M33" s="7"/>
    </row>
    <row r="34" spans="1:13" ht="90" customHeight="1">
      <c r="A34" s="6" t="s">
        <v>228</v>
      </c>
      <c r="B34" s="7" t="s">
        <v>197</v>
      </c>
      <c r="C34" s="7" t="s">
        <v>198</v>
      </c>
      <c r="D34" s="7" t="s">
        <v>229</v>
      </c>
      <c r="E34" s="7" t="s">
        <v>20</v>
      </c>
      <c r="F34" s="8" t="s">
        <v>53</v>
      </c>
      <c r="G34" s="7" t="s">
        <v>230</v>
      </c>
      <c r="H34" s="7" t="s">
        <v>231</v>
      </c>
      <c r="I34" s="7" t="s">
        <v>232</v>
      </c>
      <c r="J34" s="7" t="s">
        <v>212</v>
      </c>
      <c r="K34" s="7"/>
      <c r="L34" s="8" t="s">
        <v>58</v>
      </c>
      <c r="M34" s="7"/>
    </row>
    <row r="35" spans="1:13" ht="90" customHeight="1">
      <c r="A35" s="6" t="s">
        <v>233</v>
      </c>
      <c r="B35" s="7" t="s">
        <v>197</v>
      </c>
      <c r="C35" s="7" t="s">
        <v>234</v>
      </c>
      <c r="D35" s="7" t="s">
        <v>235</v>
      </c>
      <c r="E35" s="7" t="s">
        <v>18</v>
      </c>
      <c r="F35" s="8" t="s">
        <v>53</v>
      </c>
      <c r="G35" s="7" t="s">
        <v>236</v>
      </c>
      <c r="H35" s="7" t="s">
        <v>159</v>
      </c>
      <c r="I35" s="7" t="s">
        <v>237</v>
      </c>
      <c r="J35" s="7" t="s">
        <v>238</v>
      </c>
      <c r="K35" s="7"/>
      <c r="L35" s="8" t="s">
        <v>58</v>
      </c>
      <c r="M35" s="7"/>
    </row>
    <row r="36" spans="1:13" ht="90" customHeight="1">
      <c r="A36" s="6" t="s">
        <v>239</v>
      </c>
      <c r="B36" s="7" t="s">
        <v>197</v>
      </c>
      <c r="C36" s="7" t="s">
        <v>234</v>
      </c>
      <c r="D36" s="7" t="s">
        <v>240</v>
      </c>
      <c r="E36" s="7" t="s">
        <v>18</v>
      </c>
      <c r="F36" s="8" t="s">
        <v>53</v>
      </c>
      <c r="G36" s="7" t="s">
        <v>236</v>
      </c>
      <c r="H36" s="7" t="s">
        <v>159</v>
      </c>
      <c r="I36" s="7" t="s">
        <v>241</v>
      </c>
      <c r="J36" s="7" t="s">
        <v>242</v>
      </c>
      <c r="K36" s="7"/>
      <c r="L36" s="8" t="s">
        <v>58</v>
      </c>
      <c r="M36" s="7"/>
    </row>
    <row r="37" spans="1:13" ht="90" customHeight="1">
      <c r="A37" s="6" t="s">
        <v>243</v>
      </c>
      <c r="B37" s="7" t="s">
        <v>197</v>
      </c>
      <c r="C37" s="7" t="s">
        <v>234</v>
      </c>
      <c r="D37" s="7" t="s">
        <v>244</v>
      </c>
      <c r="E37" s="7" t="s">
        <v>18</v>
      </c>
      <c r="F37" s="8" t="s">
        <v>53</v>
      </c>
      <c r="G37" s="7" t="s">
        <v>236</v>
      </c>
      <c r="H37" s="7" t="s">
        <v>245</v>
      </c>
      <c r="I37" s="7" t="s">
        <v>246</v>
      </c>
      <c r="J37" s="7" t="s">
        <v>247</v>
      </c>
      <c r="K37" s="7"/>
      <c r="L37" s="8" t="s">
        <v>58</v>
      </c>
      <c r="M37" s="7"/>
    </row>
    <row r="38" spans="1:13" ht="90" customHeight="1">
      <c r="A38" s="6" t="s">
        <v>248</v>
      </c>
      <c r="B38" s="7" t="s">
        <v>197</v>
      </c>
      <c r="C38" s="7" t="s">
        <v>234</v>
      </c>
      <c r="D38" s="7" t="s">
        <v>249</v>
      </c>
      <c r="E38" s="7" t="s">
        <v>20</v>
      </c>
      <c r="F38" s="8" t="s">
        <v>53</v>
      </c>
      <c r="G38" s="7" t="s">
        <v>250</v>
      </c>
      <c r="H38" s="7" t="s">
        <v>251</v>
      </c>
      <c r="I38" s="7" t="s">
        <v>252</v>
      </c>
      <c r="J38" s="7" t="s">
        <v>253</v>
      </c>
      <c r="K38" s="7"/>
      <c r="L38" s="8" t="s">
        <v>58</v>
      </c>
      <c r="M38" s="7"/>
    </row>
    <row r="39" spans="1:13" ht="90" customHeight="1">
      <c r="A39" s="6" t="s">
        <v>254</v>
      </c>
      <c r="B39" s="7" t="s">
        <v>197</v>
      </c>
      <c r="C39" s="7" t="s">
        <v>255</v>
      </c>
      <c r="D39" s="7" t="s">
        <v>256</v>
      </c>
      <c r="E39" s="7" t="s">
        <v>18</v>
      </c>
      <c r="F39" s="8" t="s">
        <v>53</v>
      </c>
      <c r="G39" s="7" t="s">
        <v>236</v>
      </c>
      <c r="H39" s="7" t="s">
        <v>159</v>
      </c>
      <c r="I39" s="7" t="s">
        <v>257</v>
      </c>
      <c r="J39" s="7" t="s">
        <v>258</v>
      </c>
      <c r="K39" s="7"/>
      <c r="L39" s="8" t="s">
        <v>58</v>
      </c>
      <c r="M39" s="7"/>
    </row>
    <row r="40" spans="1:13" ht="90" customHeight="1">
      <c r="A40" s="6" t="s">
        <v>259</v>
      </c>
      <c r="B40" s="7" t="s">
        <v>197</v>
      </c>
      <c r="C40" s="7" t="s">
        <v>255</v>
      </c>
      <c r="D40" s="7" t="s">
        <v>260</v>
      </c>
      <c r="E40" s="7" t="s">
        <v>18</v>
      </c>
      <c r="F40" s="8" t="s">
        <v>61</v>
      </c>
      <c r="G40" s="7" t="s">
        <v>236</v>
      </c>
      <c r="H40" s="7" t="s">
        <v>159</v>
      </c>
      <c r="I40" s="7" t="s">
        <v>261</v>
      </c>
      <c r="J40" s="7" t="s">
        <v>262</v>
      </c>
      <c r="K40" s="7"/>
      <c r="L40" s="8" t="s">
        <v>58</v>
      </c>
      <c r="M40" s="7"/>
    </row>
    <row r="41" spans="1:13" ht="90" customHeight="1">
      <c r="A41" s="9" t="s">
        <v>263</v>
      </c>
      <c r="B41" s="10" t="s">
        <v>264</v>
      </c>
      <c r="C41" s="10" t="s">
        <v>265</v>
      </c>
      <c r="D41" s="10" t="s">
        <v>266</v>
      </c>
      <c r="E41" s="10" t="s">
        <v>18</v>
      </c>
      <c r="F41" s="11" t="s">
        <v>53</v>
      </c>
      <c r="G41" s="10" t="s">
        <v>158</v>
      </c>
      <c r="H41" s="10" t="s">
        <v>267</v>
      </c>
      <c r="I41" s="10" t="s">
        <v>268</v>
      </c>
      <c r="J41" s="10" t="s">
        <v>269</v>
      </c>
      <c r="K41" s="10"/>
      <c r="L41" s="11" t="s">
        <v>58</v>
      </c>
      <c r="M41" s="10"/>
    </row>
    <row r="42" spans="1:13" ht="90" customHeight="1">
      <c r="A42" s="9" t="s">
        <v>270</v>
      </c>
      <c r="B42" s="10" t="s">
        <v>264</v>
      </c>
      <c r="C42" s="10" t="s">
        <v>265</v>
      </c>
      <c r="D42" s="10" t="s">
        <v>271</v>
      </c>
      <c r="E42" s="10" t="s">
        <v>22</v>
      </c>
      <c r="F42" s="11" t="s">
        <v>61</v>
      </c>
      <c r="G42" s="10" t="s">
        <v>158</v>
      </c>
      <c r="H42" s="10" t="s">
        <v>272</v>
      </c>
      <c r="I42" s="10" t="s">
        <v>273</v>
      </c>
      <c r="J42" s="10" t="s">
        <v>274</v>
      </c>
      <c r="K42" s="10"/>
      <c r="L42" s="11" t="s">
        <v>58</v>
      </c>
      <c r="M42" s="10"/>
    </row>
    <row r="43" spans="1:13" ht="90" customHeight="1">
      <c r="A43" s="9" t="s">
        <v>275</v>
      </c>
      <c r="B43" s="10" t="s">
        <v>264</v>
      </c>
      <c r="C43" s="10" t="s">
        <v>265</v>
      </c>
      <c r="D43" s="10" t="s">
        <v>276</v>
      </c>
      <c r="E43" s="10" t="s">
        <v>20</v>
      </c>
      <c r="F43" s="11" t="s">
        <v>53</v>
      </c>
      <c r="G43" s="10" t="s">
        <v>277</v>
      </c>
      <c r="H43" s="10" t="s">
        <v>278</v>
      </c>
      <c r="I43" s="10" t="s">
        <v>279</v>
      </c>
      <c r="J43" s="10" t="s">
        <v>280</v>
      </c>
      <c r="K43" s="10"/>
      <c r="L43" s="11" t="s">
        <v>58</v>
      </c>
      <c r="M43" s="10"/>
    </row>
    <row r="44" spans="1:13" ht="90" customHeight="1">
      <c r="A44" s="9" t="s">
        <v>281</v>
      </c>
      <c r="B44" s="10" t="s">
        <v>264</v>
      </c>
      <c r="C44" s="10" t="s">
        <v>282</v>
      </c>
      <c r="D44" s="10" t="s">
        <v>283</v>
      </c>
      <c r="E44" s="10" t="s">
        <v>18</v>
      </c>
      <c r="F44" s="11" t="s">
        <v>53</v>
      </c>
      <c r="G44" s="10" t="s">
        <v>284</v>
      </c>
      <c r="H44" s="10" t="s">
        <v>159</v>
      </c>
      <c r="I44" s="10" t="s">
        <v>285</v>
      </c>
      <c r="J44" s="10" t="s">
        <v>286</v>
      </c>
      <c r="K44" s="10"/>
      <c r="L44" s="11" t="s">
        <v>58</v>
      </c>
      <c r="M44" s="10"/>
    </row>
    <row r="45" spans="1:13" ht="90" customHeight="1">
      <c r="A45" s="9" t="s">
        <v>287</v>
      </c>
      <c r="B45" s="10" t="s">
        <v>264</v>
      </c>
      <c r="C45" s="10" t="s">
        <v>282</v>
      </c>
      <c r="D45" s="10" t="s">
        <v>288</v>
      </c>
      <c r="E45" s="10" t="s">
        <v>18</v>
      </c>
      <c r="F45" s="11" t="s">
        <v>61</v>
      </c>
      <c r="G45" s="10" t="s">
        <v>289</v>
      </c>
      <c r="H45" s="10" t="s">
        <v>159</v>
      </c>
      <c r="I45" s="10" t="s">
        <v>290</v>
      </c>
      <c r="J45" s="10" t="s">
        <v>291</v>
      </c>
      <c r="K45" s="10"/>
      <c r="L45" s="11" t="s">
        <v>58</v>
      </c>
      <c r="M45" s="10"/>
    </row>
    <row r="46" spans="1:13" ht="90" customHeight="1">
      <c r="A46" s="9" t="s">
        <v>292</v>
      </c>
      <c r="B46" s="10" t="s">
        <v>264</v>
      </c>
      <c r="C46" s="10" t="s">
        <v>282</v>
      </c>
      <c r="D46" s="10" t="s">
        <v>293</v>
      </c>
      <c r="E46" s="10" t="s">
        <v>20</v>
      </c>
      <c r="F46" s="11" t="s">
        <v>53</v>
      </c>
      <c r="G46" s="10" t="s">
        <v>294</v>
      </c>
      <c r="H46" s="10" t="s">
        <v>295</v>
      </c>
      <c r="I46" s="10" t="s">
        <v>296</v>
      </c>
      <c r="J46" s="10" t="s">
        <v>297</v>
      </c>
      <c r="K46" s="10"/>
      <c r="L46" s="11" t="s">
        <v>58</v>
      </c>
      <c r="M46" s="10"/>
    </row>
    <row r="47" spans="1:13" ht="90" customHeight="1">
      <c r="A47" s="9" t="s">
        <v>298</v>
      </c>
      <c r="B47" s="10" t="s">
        <v>264</v>
      </c>
      <c r="C47" s="10" t="s">
        <v>299</v>
      </c>
      <c r="D47" s="10" t="s">
        <v>300</v>
      </c>
      <c r="E47" s="10" t="s">
        <v>18</v>
      </c>
      <c r="F47" s="11" t="s">
        <v>53</v>
      </c>
      <c r="G47" s="10" t="s">
        <v>289</v>
      </c>
      <c r="H47" s="10" t="s">
        <v>159</v>
      </c>
      <c r="I47" s="10" t="s">
        <v>301</v>
      </c>
      <c r="J47" s="10" t="s">
        <v>302</v>
      </c>
      <c r="K47" s="10"/>
      <c r="L47" s="11" t="s">
        <v>58</v>
      </c>
      <c r="M47" s="10"/>
    </row>
    <row r="48" spans="1:13" ht="90" customHeight="1">
      <c r="A48" s="9" t="s">
        <v>303</v>
      </c>
      <c r="B48" s="10" t="s">
        <v>264</v>
      </c>
      <c r="C48" s="10" t="s">
        <v>299</v>
      </c>
      <c r="D48" s="10" t="s">
        <v>304</v>
      </c>
      <c r="E48" s="10" t="s">
        <v>18</v>
      </c>
      <c r="F48" s="11" t="s">
        <v>53</v>
      </c>
      <c r="G48" s="10" t="s">
        <v>305</v>
      </c>
      <c r="H48" s="10" t="s">
        <v>306</v>
      </c>
      <c r="I48" s="10" t="s">
        <v>307</v>
      </c>
      <c r="J48" s="10" t="s">
        <v>308</v>
      </c>
      <c r="K48" s="10"/>
      <c r="L48" s="11" t="s">
        <v>58</v>
      </c>
      <c r="M48" s="10"/>
    </row>
    <row r="49" spans="1:13" ht="90" customHeight="1">
      <c r="A49" s="6" t="s">
        <v>309</v>
      </c>
      <c r="B49" s="7" t="s">
        <v>310</v>
      </c>
      <c r="C49" s="7" t="s">
        <v>311</v>
      </c>
      <c r="D49" s="7" t="s">
        <v>312</v>
      </c>
      <c r="E49" s="7" t="s">
        <v>18</v>
      </c>
      <c r="F49" s="8" t="s">
        <v>53</v>
      </c>
      <c r="G49" s="7" t="s">
        <v>313</v>
      </c>
      <c r="H49" s="7" t="s">
        <v>314</v>
      </c>
      <c r="I49" s="7" t="s">
        <v>315</v>
      </c>
      <c r="J49" s="7" t="s">
        <v>316</v>
      </c>
      <c r="K49" s="7"/>
      <c r="L49" s="8" t="s">
        <v>58</v>
      </c>
      <c r="M49" s="7"/>
    </row>
    <row r="50" spans="1:13" ht="90" customHeight="1">
      <c r="A50" s="6" t="s">
        <v>317</v>
      </c>
      <c r="B50" s="7" t="s">
        <v>310</v>
      </c>
      <c r="C50" s="7" t="s">
        <v>311</v>
      </c>
      <c r="D50" s="7" t="s">
        <v>318</v>
      </c>
      <c r="E50" s="7" t="s">
        <v>18</v>
      </c>
      <c r="F50" s="8" t="s">
        <v>53</v>
      </c>
      <c r="G50" s="7" t="s">
        <v>313</v>
      </c>
      <c r="H50" s="7" t="s">
        <v>159</v>
      </c>
      <c r="I50" s="7" t="s">
        <v>319</v>
      </c>
      <c r="J50" s="7" t="s">
        <v>320</v>
      </c>
      <c r="K50" s="7"/>
      <c r="L50" s="8" t="s">
        <v>58</v>
      </c>
      <c r="M50" s="7"/>
    </row>
    <row r="51" spans="1:13" ht="90" customHeight="1">
      <c r="A51" s="6" t="s">
        <v>321</v>
      </c>
      <c r="B51" s="7" t="s">
        <v>310</v>
      </c>
      <c r="C51" s="7" t="s">
        <v>311</v>
      </c>
      <c r="D51" s="7" t="s">
        <v>322</v>
      </c>
      <c r="E51" s="7" t="s">
        <v>20</v>
      </c>
      <c r="F51" s="8" t="s">
        <v>53</v>
      </c>
      <c r="G51" s="7" t="s">
        <v>323</v>
      </c>
      <c r="H51" s="7" t="s">
        <v>324</v>
      </c>
      <c r="I51" s="7" t="s">
        <v>325</v>
      </c>
      <c r="J51" s="7" t="s">
        <v>326</v>
      </c>
      <c r="K51" s="7"/>
      <c r="L51" s="8" t="s">
        <v>58</v>
      </c>
      <c r="M51" s="7"/>
    </row>
    <row r="52" spans="1:13" ht="90" customHeight="1">
      <c r="A52" s="6" t="s">
        <v>327</v>
      </c>
      <c r="B52" s="7" t="s">
        <v>310</v>
      </c>
      <c r="C52" s="7" t="s">
        <v>311</v>
      </c>
      <c r="D52" s="7" t="s">
        <v>328</v>
      </c>
      <c r="E52" s="7" t="s">
        <v>18</v>
      </c>
      <c r="F52" s="8" t="s">
        <v>53</v>
      </c>
      <c r="G52" s="7" t="s">
        <v>313</v>
      </c>
      <c r="H52" s="7" t="s">
        <v>159</v>
      </c>
      <c r="I52" s="7" t="s">
        <v>329</v>
      </c>
      <c r="J52" s="7" t="s">
        <v>330</v>
      </c>
      <c r="K52" s="7"/>
      <c r="L52" s="8" t="s">
        <v>58</v>
      </c>
      <c r="M52" s="7"/>
    </row>
    <row r="53" spans="1:13" ht="90" customHeight="1">
      <c r="A53" s="6" t="s">
        <v>331</v>
      </c>
      <c r="B53" s="7" t="s">
        <v>310</v>
      </c>
      <c r="C53" s="7" t="s">
        <v>311</v>
      </c>
      <c r="D53" s="7" t="s">
        <v>332</v>
      </c>
      <c r="E53" s="7" t="s">
        <v>18</v>
      </c>
      <c r="F53" s="8" t="s">
        <v>53</v>
      </c>
      <c r="G53" s="7" t="s">
        <v>333</v>
      </c>
      <c r="H53" s="7" t="s">
        <v>159</v>
      </c>
      <c r="I53" s="7" t="s">
        <v>334</v>
      </c>
      <c r="J53" s="7" t="s">
        <v>335</v>
      </c>
      <c r="K53" s="7"/>
      <c r="L53" s="8" t="s">
        <v>58</v>
      </c>
      <c r="M53" s="7"/>
    </row>
    <row r="54" spans="1:13" ht="90" customHeight="1">
      <c r="A54" s="6" t="s">
        <v>336</v>
      </c>
      <c r="B54" s="7" t="s">
        <v>310</v>
      </c>
      <c r="C54" s="7" t="s">
        <v>311</v>
      </c>
      <c r="D54" s="7" t="s">
        <v>337</v>
      </c>
      <c r="E54" s="7" t="s">
        <v>18</v>
      </c>
      <c r="F54" s="8" t="s">
        <v>61</v>
      </c>
      <c r="G54" s="7" t="s">
        <v>313</v>
      </c>
      <c r="H54" s="7" t="s">
        <v>159</v>
      </c>
      <c r="I54" s="7" t="s">
        <v>338</v>
      </c>
      <c r="J54" s="7" t="s">
        <v>339</v>
      </c>
      <c r="K54" s="7"/>
      <c r="L54" s="8" t="s">
        <v>58</v>
      </c>
      <c r="M54" s="7"/>
    </row>
    <row r="55" spans="1:13" ht="90" customHeight="1">
      <c r="A55" s="6" t="s">
        <v>340</v>
      </c>
      <c r="B55" s="7" t="s">
        <v>310</v>
      </c>
      <c r="C55" s="7" t="s">
        <v>341</v>
      </c>
      <c r="D55" s="7" t="s">
        <v>342</v>
      </c>
      <c r="E55" s="7" t="s">
        <v>18</v>
      </c>
      <c r="F55" s="8" t="s">
        <v>53</v>
      </c>
      <c r="G55" s="7" t="s">
        <v>343</v>
      </c>
      <c r="H55" s="7" t="s">
        <v>159</v>
      </c>
      <c r="I55" s="7" t="s">
        <v>344</v>
      </c>
      <c r="J55" s="7" t="s">
        <v>345</v>
      </c>
      <c r="K55" s="7"/>
      <c r="L55" s="8" t="s">
        <v>58</v>
      </c>
      <c r="M55" s="7"/>
    </row>
    <row r="56" spans="1:13" ht="90" customHeight="1">
      <c r="A56" s="6" t="s">
        <v>346</v>
      </c>
      <c r="B56" s="7" t="s">
        <v>310</v>
      </c>
      <c r="C56" s="7" t="s">
        <v>341</v>
      </c>
      <c r="D56" s="7" t="s">
        <v>347</v>
      </c>
      <c r="E56" s="7" t="s">
        <v>18</v>
      </c>
      <c r="F56" s="8" t="s">
        <v>61</v>
      </c>
      <c r="G56" s="7" t="s">
        <v>313</v>
      </c>
      <c r="H56" s="7" t="s">
        <v>348</v>
      </c>
      <c r="I56" s="7" t="s">
        <v>349</v>
      </c>
      <c r="J56" s="7" t="s">
        <v>350</v>
      </c>
      <c r="K56" s="7"/>
      <c r="L56" s="8" t="s">
        <v>58</v>
      </c>
      <c r="M56" s="7"/>
    </row>
    <row r="57" spans="1:13" ht="90" customHeight="1">
      <c r="A57" s="6" t="s">
        <v>351</v>
      </c>
      <c r="B57" s="7" t="s">
        <v>310</v>
      </c>
      <c r="C57" s="7" t="s">
        <v>341</v>
      </c>
      <c r="D57" s="7" t="s">
        <v>347</v>
      </c>
      <c r="E57" s="7" t="s">
        <v>18</v>
      </c>
      <c r="F57" s="8" t="s">
        <v>61</v>
      </c>
      <c r="G57" s="7" t="s">
        <v>313</v>
      </c>
      <c r="H57" s="7" t="s">
        <v>352</v>
      </c>
      <c r="I57" s="7" t="s">
        <v>353</v>
      </c>
      <c r="J57" s="7" t="s">
        <v>354</v>
      </c>
      <c r="K57" s="7"/>
      <c r="L57" s="8" t="s">
        <v>58</v>
      </c>
      <c r="M57" s="7"/>
    </row>
    <row r="58" spans="1:13" ht="90" customHeight="1">
      <c r="A58" s="6" t="s">
        <v>355</v>
      </c>
      <c r="B58" s="7" t="s">
        <v>310</v>
      </c>
      <c r="C58" s="7" t="s">
        <v>341</v>
      </c>
      <c r="D58" s="7" t="s">
        <v>347</v>
      </c>
      <c r="E58" s="7" t="s">
        <v>18</v>
      </c>
      <c r="F58" s="8" t="s">
        <v>61</v>
      </c>
      <c r="G58" s="7" t="s">
        <v>313</v>
      </c>
      <c r="H58" s="7" t="s">
        <v>356</v>
      </c>
      <c r="I58" s="7" t="s">
        <v>357</v>
      </c>
      <c r="J58" s="7" t="s">
        <v>358</v>
      </c>
      <c r="K58" s="7"/>
      <c r="L58" s="8" t="s">
        <v>58</v>
      </c>
      <c r="M58" s="7"/>
    </row>
    <row r="59" spans="1:13" ht="90" customHeight="1">
      <c r="A59" s="6" t="s">
        <v>359</v>
      </c>
      <c r="B59" s="7" t="s">
        <v>310</v>
      </c>
      <c r="C59" s="7" t="s">
        <v>360</v>
      </c>
      <c r="D59" s="7" t="s">
        <v>361</v>
      </c>
      <c r="E59" s="7" t="s">
        <v>18</v>
      </c>
      <c r="F59" s="8" t="s">
        <v>53</v>
      </c>
      <c r="G59" s="7" t="s">
        <v>362</v>
      </c>
      <c r="H59" s="7" t="s">
        <v>363</v>
      </c>
      <c r="I59" s="7" t="s">
        <v>364</v>
      </c>
      <c r="J59" s="7" t="s">
        <v>365</v>
      </c>
      <c r="K59" s="7"/>
      <c r="L59" s="8" t="s">
        <v>58</v>
      </c>
      <c r="M59" s="7"/>
    </row>
    <row r="60" spans="1:13" ht="90" customHeight="1">
      <c r="A60" s="6" t="s">
        <v>366</v>
      </c>
      <c r="B60" s="7" t="s">
        <v>310</v>
      </c>
      <c r="C60" s="7" t="s">
        <v>360</v>
      </c>
      <c r="D60" s="7" t="s">
        <v>367</v>
      </c>
      <c r="E60" s="7" t="s">
        <v>20</v>
      </c>
      <c r="F60" s="8" t="s">
        <v>53</v>
      </c>
      <c r="G60" s="7" t="s">
        <v>362</v>
      </c>
      <c r="H60" s="7" t="s">
        <v>368</v>
      </c>
      <c r="I60" s="7" t="s">
        <v>369</v>
      </c>
      <c r="J60" s="7" t="s">
        <v>370</v>
      </c>
      <c r="K60" s="7"/>
      <c r="L60" s="8" t="s">
        <v>58</v>
      </c>
      <c r="M60" s="7"/>
    </row>
    <row r="61" spans="1:13" ht="90" customHeight="1">
      <c r="A61" s="6" t="s">
        <v>371</v>
      </c>
      <c r="B61" s="7" t="s">
        <v>310</v>
      </c>
      <c r="C61" s="7" t="s">
        <v>360</v>
      </c>
      <c r="D61" s="7" t="s">
        <v>372</v>
      </c>
      <c r="E61" s="7" t="s">
        <v>20</v>
      </c>
      <c r="F61" s="8" t="s">
        <v>53</v>
      </c>
      <c r="G61" s="7" t="s">
        <v>373</v>
      </c>
      <c r="H61" s="7" t="s">
        <v>374</v>
      </c>
      <c r="I61" s="7" t="s">
        <v>375</v>
      </c>
      <c r="J61" s="7" t="s">
        <v>376</v>
      </c>
      <c r="K61" s="7"/>
      <c r="L61" s="8" t="s">
        <v>58</v>
      </c>
      <c r="M61" s="7"/>
    </row>
    <row r="62" spans="1:13" ht="90" customHeight="1">
      <c r="A62" s="6" t="s">
        <v>377</v>
      </c>
      <c r="B62" s="7" t="s">
        <v>310</v>
      </c>
      <c r="C62" s="7" t="s">
        <v>378</v>
      </c>
      <c r="D62" s="7" t="s">
        <v>379</v>
      </c>
      <c r="E62" s="7" t="s">
        <v>18</v>
      </c>
      <c r="F62" s="8" t="s">
        <v>53</v>
      </c>
      <c r="G62" s="7" t="s">
        <v>380</v>
      </c>
      <c r="H62" s="7" t="s">
        <v>381</v>
      </c>
      <c r="I62" s="7" t="s">
        <v>382</v>
      </c>
      <c r="J62" s="7" t="s">
        <v>383</v>
      </c>
      <c r="K62" s="7"/>
      <c r="L62" s="8" t="s">
        <v>58</v>
      </c>
      <c r="M62" s="7"/>
    </row>
    <row r="63" spans="1:13" ht="90" customHeight="1">
      <c r="A63" s="6" t="s">
        <v>384</v>
      </c>
      <c r="B63" s="7" t="s">
        <v>310</v>
      </c>
      <c r="C63" s="7" t="s">
        <v>378</v>
      </c>
      <c r="D63" s="7" t="s">
        <v>385</v>
      </c>
      <c r="E63" s="7" t="s">
        <v>20</v>
      </c>
      <c r="F63" s="8" t="s">
        <v>61</v>
      </c>
      <c r="G63" s="7" t="s">
        <v>313</v>
      </c>
      <c r="H63" s="7" t="s">
        <v>386</v>
      </c>
      <c r="I63" s="7" t="s">
        <v>387</v>
      </c>
      <c r="J63" s="7" t="s">
        <v>388</v>
      </c>
      <c r="K63" s="7"/>
      <c r="L63" s="8" t="s">
        <v>58</v>
      </c>
      <c r="M63" s="7"/>
    </row>
    <row r="64" spans="1:13" ht="90" customHeight="1">
      <c r="A64" s="6" t="s">
        <v>389</v>
      </c>
      <c r="B64" s="7" t="s">
        <v>310</v>
      </c>
      <c r="C64" s="7" t="s">
        <v>378</v>
      </c>
      <c r="D64" s="7" t="s">
        <v>390</v>
      </c>
      <c r="E64" s="7" t="s">
        <v>18</v>
      </c>
      <c r="F64" s="8" t="s">
        <v>391</v>
      </c>
      <c r="G64" s="7" t="s">
        <v>380</v>
      </c>
      <c r="H64" s="7" t="s">
        <v>381</v>
      </c>
      <c r="I64" s="7" t="s">
        <v>392</v>
      </c>
      <c r="J64" s="7" t="s">
        <v>393</v>
      </c>
      <c r="K64" s="7"/>
      <c r="L64" s="8" t="s">
        <v>58</v>
      </c>
      <c r="M64" s="7"/>
    </row>
    <row r="65" spans="1:13" ht="90" customHeight="1">
      <c r="A65" s="9" t="s">
        <v>394</v>
      </c>
      <c r="B65" s="10" t="s">
        <v>395</v>
      </c>
      <c r="C65" s="10" t="s">
        <v>396</v>
      </c>
      <c r="D65" s="10" t="s">
        <v>397</v>
      </c>
      <c r="E65" s="10" t="s">
        <v>18</v>
      </c>
      <c r="F65" s="11" t="s">
        <v>53</v>
      </c>
      <c r="G65" s="10" t="s">
        <v>398</v>
      </c>
      <c r="H65" s="10" t="s">
        <v>159</v>
      </c>
      <c r="I65" s="10" t="s">
        <v>399</v>
      </c>
      <c r="J65" s="10" t="s">
        <v>400</v>
      </c>
      <c r="K65" s="10"/>
      <c r="L65" s="11" t="s">
        <v>58</v>
      </c>
      <c r="M65" s="10"/>
    </row>
    <row r="66" spans="1:13" ht="90" customHeight="1">
      <c r="A66" s="9" t="s">
        <v>401</v>
      </c>
      <c r="B66" s="10" t="s">
        <v>395</v>
      </c>
      <c r="C66" s="10" t="s">
        <v>396</v>
      </c>
      <c r="D66" s="10" t="s">
        <v>402</v>
      </c>
      <c r="E66" s="10" t="s">
        <v>18</v>
      </c>
      <c r="F66" s="11" t="s">
        <v>53</v>
      </c>
      <c r="G66" s="10" t="s">
        <v>313</v>
      </c>
      <c r="H66" s="10" t="s">
        <v>159</v>
      </c>
      <c r="I66" s="10" t="s">
        <v>403</v>
      </c>
      <c r="J66" s="10" t="s">
        <v>404</v>
      </c>
      <c r="K66" s="10"/>
      <c r="L66" s="11" t="s">
        <v>58</v>
      </c>
      <c r="M66" s="10"/>
    </row>
    <row r="67" spans="1:13" ht="90" customHeight="1">
      <c r="A67" s="9" t="s">
        <v>405</v>
      </c>
      <c r="B67" s="10" t="s">
        <v>395</v>
      </c>
      <c r="C67" s="10" t="s">
        <v>406</v>
      </c>
      <c r="D67" s="10" t="s">
        <v>407</v>
      </c>
      <c r="E67" s="10" t="s">
        <v>18</v>
      </c>
      <c r="F67" s="11" t="s">
        <v>61</v>
      </c>
      <c r="G67" s="10" t="s">
        <v>313</v>
      </c>
      <c r="H67" s="10" t="s">
        <v>306</v>
      </c>
      <c r="I67" s="10" t="s">
        <v>408</v>
      </c>
      <c r="J67" s="10" t="s">
        <v>409</v>
      </c>
      <c r="K67" s="10"/>
      <c r="L67" s="11" t="s">
        <v>58</v>
      </c>
      <c r="M67" s="10"/>
    </row>
    <row r="68" spans="1:13" ht="90" customHeight="1">
      <c r="A68" s="9" t="s">
        <v>410</v>
      </c>
      <c r="B68" s="10" t="s">
        <v>395</v>
      </c>
      <c r="C68" s="10" t="s">
        <v>406</v>
      </c>
      <c r="D68" s="10" t="s">
        <v>411</v>
      </c>
      <c r="E68" s="10" t="s">
        <v>18</v>
      </c>
      <c r="F68" s="11" t="s">
        <v>53</v>
      </c>
      <c r="G68" s="10" t="s">
        <v>313</v>
      </c>
      <c r="H68" s="10" t="s">
        <v>412</v>
      </c>
      <c r="I68" s="10" t="s">
        <v>413</v>
      </c>
      <c r="J68" s="10" t="s">
        <v>414</v>
      </c>
      <c r="K68" s="10"/>
      <c r="L68" s="11" t="s">
        <v>58</v>
      </c>
      <c r="M68" s="10"/>
    </row>
    <row r="69" spans="1:13" ht="90" customHeight="1">
      <c r="A69" s="9" t="s">
        <v>415</v>
      </c>
      <c r="B69" s="10" t="s">
        <v>395</v>
      </c>
      <c r="C69" s="10" t="s">
        <v>406</v>
      </c>
      <c r="D69" s="10" t="s">
        <v>416</v>
      </c>
      <c r="E69" s="10" t="s">
        <v>18</v>
      </c>
      <c r="F69" s="11" t="s">
        <v>53</v>
      </c>
      <c r="G69" s="10" t="s">
        <v>417</v>
      </c>
      <c r="H69" s="10" t="s">
        <v>159</v>
      </c>
      <c r="I69" s="10" t="s">
        <v>418</v>
      </c>
      <c r="J69" s="10" t="s">
        <v>419</v>
      </c>
      <c r="K69" s="10"/>
      <c r="L69" s="11" t="s">
        <v>58</v>
      </c>
      <c r="M69" s="10"/>
    </row>
    <row r="70" spans="1:13" ht="90" customHeight="1">
      <c r="A70" s="9" t="s">
        <v>420</v>
      </c>
      <c r="B70" s="10" t="s">
        <v>395</v>
      </c>
      <c r="C70" s="10" t="s">
        <v>406</v>
      </c>
      <c r="D70" s="10" t="s">
        <v>421</v>
      </c>
      <c r="E70" s="10" t="s">
        <v>18</v>
      </c>
      <c r="F70" s="11" t="s">
        <v>61</v>
      </c>
      <c r="G70" s="10" t="s">
        <v>313</v>
      </c>
      <c r="H70" s="10" t="s">
        <v>159</v>
      </c>
      <c r="I70" s="10" t="s">
        <v>422</v>
      </c>
      <c r="J70" s="10" t="s">
        <v>423</v>
      </c>
      <c r="K70" s="10"/>
      <c r="L70" s="11" t="s">
        <v>58</v>
      </c>
      <c r="M70" s="10"/>
    </row>
    <row r="71" spans="1:13" ht="90" customHeight="1">
      <c r="A71" s="6" t="s">
        <v>424</v>
      </c>
      <c r="B71" s="7" t="s">
        <v>425</v>
      </c>
      <c r="C71" s="7" t="s">
        <v>426</v>
      </c>
      <c r="D71" s="7" t="s">
        <v>427</v>
      </c>
      <c r="E71" s="7" t="s">
        <v>18</v>
      </c>
      <c r="F71" s="8" t="s">
        <v>53</v>
      </c>
      <c r="G71" s="7" t="s">
        <v>428</v>
      </c>
      <c r="H71" s="7" t="s">
        <v>159</v>
      </c>
      <c r="I71" s="7" t="s">
        <v>429</v>
      </c>
      <c r="J71" s="7" t="s">
        <v>430</v>
      </c>
      <c r="K71" s="7"/>
      <c r="L71" s="8" t="s">
        <v>58</v>
      </c>
      <c r="M71" s="7"/>
    </row>
    <row r="72" spans="1:13" ht="90" customHeight="1">
      <c r="A72" s="6" t="s">
        <v>431</v>
      </c>
      <c r="B72" s="7" t="s">
        <v>425</v>
      </c>
      <c r="C72" s="7" t="s">
        <v>432</v>
      </c>
      <c r="D72" s="7" t="s">
        <v>433</v>
      </c>
      <c r="E72" s="7" t="s">
        <v>18</v>
      </c>
      <c r="F72" s="8" t="s">
        <v>61</v>
      </c>
      <c r="G72" s="7" t="s">
        <v>158</v>
      </c>
      <c r="H72" s="7" t="s">
        <v>159</v>
      </c>
      <c r="I72" s="7" t="s">
        <v>434</v>
      </c>
      <c r="J72" s="7" t="s">
        <v>435</v>
      </c>
      <c r="K72" s="7"/>
      <c r="L72" s="8" t="s">
        <v>58</v>
      </c>
      <c r="M72" s="7"/>
    </row>
    <row r="73" spans="1:13" ht="90" customHeight="1">
      <c r="A73" s="6" t="s">
        <v>436</v>
      </c>
      <c r="B73" s="7" t="s">
        <v>425</v>
      </c>
      <c r="C73" s="7" t="s">
        <v>432</v>
      </c>
      <c r="D73" s="7" t="s">
        <v>437</v>
      </c>
      <c r="E73" s="7" t="s">
        <v>18</v>
      </c>
      <c r="F73" s="8" t="s">
        <v>61</v>
      </c>
      <c r="G73" s="7" t="s">
        <v>158</v>
      </c>
      <c r="H73" s="7" t="s">
        <v>159</v>
      </c>
      <c r="I73" s="7" t="s">
        <v>438</v>
      </c>
      <c r="J73" s="7" t="s">
        <v>439</v>
      </c>
      <c r="K73" s="7"/>
      <c r="L73" s="8" t="s">
        <v>58</v>
      </c>
      <c r="M73" s="7"/>
    </row>
    <row r="74" spans="1:13" ht="90" customHeight="1">
      <c r="A74" s="6" t="s">
        <v>440</v>
      </c>
      <c r="B74" s="7" t="s">
        <v>425</v>
      </c>
      <c r="C74" s="7" t="s">
        <v>432</v>
      </c>
      <c r="D74" s="7" t="s">
        <v>441</v>
      </c>
      <c r="E74" s="7" t="s">
        <v>18</v>
      </c>
      <c r="F74" s="8" t="s">
        <v>61</v>
      </c>
      <c r="G74" s="7" t="s">
        <v>158</v>
      </c>
      <c r="H74" s="7" t="s">
        <v>159</v>
      </c>
      <c r="I74" s="7" t="s">
        <v>442</v>
      </c>
      <c r="J74" s="7" t="s">
        <v>443</v>
      </c>
      <c r="K74" s="7"/>
      <c r="L74" s="8" t="s">
        <v>58</v>
      </c>
      <c r="M74" s="7"/>
    </row>
    <row r="75" spans="1:13" ht="90" customHeight="1">
      <c r="A75" s="6" t="s">
        <v>444</v>
      </c>
      <c r="B75" s="7" t="s">
        <v>425</v>
      </c>
      <c r="C75" s="7" t="s">
        <v>432</v>
      </c>
      <c r="D75" s="7" t="s">
        <v>445</v>
      </c>
      <c r="E75" s="7" t="s">
        <v>18</v>
      </c>
      <c r="F75" s="8" t="s">
        <v>61</v>
      </c>
      <c r="G75" s="7" t="s">
        <v>158</v>
      </c>
      <c r="H75" s="7" t="s">
        <v>159</v>
      </c>
      <c r="I75" s="7" t="s">
        <v>446</v>
      </c>
      <c r="J75" s="7" t="s">
        <v>447</v>
      </c>
      <c r="K75" s="7"/>
      <c r="L75" s="8" t="s">
        <v>58</v>
      </c>
      <c r="M75" s="7"/>
    </row>
    <row r="76" spans="1:13" ht="90" customHeight="1">
      <c r="A76" s="6" t="s">
        <v>448</v>
      </c>
      <c r="B76" s="7" t="s">
        <v>425</v>
      </c>
      <c r="C76" s="7" t="s">
        <v>432</v>
      </c>
      <c r="D76" s="7" t="s">
        <v>449</v>
      </c>
      <c r="E76" s="7" t="s">
        <v>18</v>
      </c>
      <c r="F76" s="8" t="s">
        <v>61</v>
      </c>
      <c r="G76" s="7" t="s">
        <v>158</v>
      </c>
      <c r="H76" s="7" t="s">
        <v>159</v>
      </c>
      <c r="I76" s="7" t="s">
        <v>450</v>
      </c>
      <c r="J76" s="7" t="s">
        <v>451</v>
      </c>
      <c r="K76" s="7"/>
      <c r="L76" s="8" t="s">
        <v>58</v>
      </c>
      <c r="M76" s="7"/>
    </row>
    <row r="77" spans="1:13" ht="90" customHeight="1">
      <c r="A77" s="12" t="s">
        <v>452</v>
      </c>
      <c r="B77" s="13" t="s">
        <v>453</v>
      </c>
      <c r="C77" s="13" t="s">
        <v>454</v>
      </c>
      <c r="D77" s="13" t="s">
        <v>455</v>
      </c>
      <c r="E77" s="13" t="s">
        <v>456</v>
      </c>
      <c r="F77" s="14" t="s">
        <v>61</v>
      </c>
      <c r="G77" s="13" t="s">
        <v>62</v>
      </c>
      <c r="H77" s="13" t="s">
        <v>457</v>
      </c>
      <c r="I77" s="13" t="s">
        <v>458</v>
      </c>
      <c r="J77" s="13" t="s">
        <v>459</v>
      </c>
      <c r="K77" s="13"/>
      <c r="L77" s="14" t="s">
        <v>58</v>
      </c>
      <c r="M77" s="13"/>
    </row>
    <row r="78" spans="1:13" ht="90" customHeight="1">
      <c r="A78" s="12" t="s">
        <v>460</v>
      </c>
      <c r="B78" s="13" t="s">
        <v>453</v>
      </c>
      <c r="C78" s="13" t="s">
        <v>454</v>
      </c>
      <c r="D78" s="13" t="s">
        <v>461</v>
      </c>
      <c r="E78" s="13" t="s">
        <v>456</v>
      </c>
      <c r="F78" s="14" t="s">
        <v>61</v>
      </c>
      <c r="G78" s="13" t="s">
        <v>62</v>
      </c>
      <c r="H78" s="13" t="s">
        <v>457</v>
      </c>
      <c r="I78" s="13" t="s">
        <v>462</v>
      </c>
      <c r="J78" s="13" t="s">
        <v>463</v>
      </c>
      <c r="K78" s="13"/>
      <c r="L78" s="14" t="s">
        <v>58</v>
      </c>
      <c r="M78" s="13"/>
    </row>
    <row r="79" spans="1:13" ht="90" customHeight="1">
      <c r="A79" s="12" t="s">
        <v>464</v>
      </c>
      <c r="B79" s="13" t="s">
        <v>453</v>
      </c>
      <c r="C79" s="13" t="s">
        <v>454</v>
      </c>
      <c r="D79" s="13" t="s">
        <v>465</v>
      </c>
      <c r="E79" s="13" t="s">
        <v>456</v>
      </c>
      <c r="F79" s="14" t="s">
        <v>61</v>
      </c>
      <c r="G79" s="13" t="s">
        <v>466</v>
      </c>
      <c r="H79" s="13" t="s">
        <v>467</v>
      </c>
      <c r="I79" s="13" t="s">
        <v>468</v>
      </c>
      <c r="J79" s="13" t="s">
        <v>469</v>
      </c>
      <c r="K79" s="13"/>
      <c r="L79" s="14" t="s">
        <v>58</v>
      </c>
      <c r="M79" s="13"/>
    </row>
    <row r="80" spans="1:13" ht="90" customHeight="1">
      <c r="A80" s="12" t="s">
        <v>470</v>
      </c>
      <c r="B80" s="13" t="s">
        <v>453</v>
      </c>
      <c r="C80" s="13" t="s">
        <v>471</v>
      </c>
      <c r="D80" s="13" t="s">
        <v>472</v>
      </c>
      <c r="E80" s="13" t="s">
        <v>186</v>
      </c>
      <c r="F80" s="14" t="s">
        <v>53</v>
      </c>
      <c r="G80" s="13" t="s">
        <v>466</v>
      </c>
      <c r="H80" s="13" t="s">
        <v>473</v>
      </c>
      <c r="I80" s="13" t="s">
        <v>474</v>
      </c>
      <c r="J80" s="13" t="s">
        <v>475</v>
      </c>
      <c r="K80" s="13"/>
      <c r="L80" s="14" t="s">
        <v>58</v>
      </c>
      <c r="M80" s="13"/>
    </row>
    <row r="81" spans="1:13" ht="90" customHeight="1">
      <c r="A81" s="12" t="s">
        <v>476</v>
      </c>
      <c r="B81" s="13" t="s">
        <v>453</v>
      </c>
      <c r="C81" s="13" t="s">
        <v>471</v>
      </c>
      <c r="D81" s="13" t="s">
        <v>477</v>
      </c>
      <c r="E81" s="13" t="s">
        <v>186</v>
      </c>
      <c r="F81" s="14" t="s">
        <v>53</v>
      </c>
      <c r="G81" s="13" t="s">
        <v>158</v>
      </c>
      <c r="H81" s="13" t="s">
        <v>159</v>
      </c>
      <c r="I81" s="13" t="s">
        <v>478</v>
      </c>
      <c r="J81" s="13" t="s">
        <v>479</v>
      </c>
      <c r="K81" s="13"/>
      <c r="L81" s="14" t="s">
        <v>58</v>
      </c>
      <c r="M81" s="13"/>
    </row>
    <row r="82" spans="1:13" ht="90" customHeight="1">
      <c r="A82" s="12" t="s">
        <v>480</v>
      </c>
      <c r="B82" s="13" t="s">
        <v>453</v>
      </c>
      <c r="C82" s="13" t="s">
        <v>481</v>
      </c>
      <c r="D82" s="13" t="s">
        <v>482</v>
      </c>
      <c r="E82" s="13" t="s">
        <v>456</v>
      </c>
      <c r="F82" s="14" t="s">
        <v>61</v>
      </c>
      <c r="G82" s="13" t="s">
        <v>483</v>
      </c>
      <c r="H82" s="13" t="s">
        <v>159</v>
      </c>
      <c r="I82" s="13" t="s">
        <v>484</v>
      </c>
      <c r="J82" s="13" t="s">
        <v>485</v>
      </c>
      <c r="K82" s="13"/>
      <c r="L82" s="14" t="s">
        <v>58</v>
      </c>
      <c r="M82" s="13"/>
    </row>
    <row r="83" spans="1:13" ht="90" customHeight="1">
      <c r="A83" s="12" t="s">
        <v>480</v>
      </c>
      <c r="B83" s="13" t="s">
        <v>453</v>
      </c>
      <c r="C83" s="13" t="s">
        <v>486</v>
      </c>
      <c r="D83" s="13" t="s">
        <v>487</v>
      </c>
      <c r="E83" s="13" t="s">
        <v>186</v>
      </c>
      <c r="F83" s="14" t="s">
        <v>53</v>
      </c>
      <c r="G83" s="13" t="s">
        <v>236</v>
      </c>
      <c r="H83" s="13" t="s">
        <v>159</v>
      </c>
      <c r="I83" s="13" t="s">
        <v>488</v>
      </c>
      <c r="J83" s="13" t="s">
        <v>489</v>
      </c>
      <c r="K83" s="13"/>
      <c r="L83" s="14" t="s">
        <v>58</v>
      </c>
      <c r="M83" s="13"/>
    </row>
    <row r="84" spans="1:13" ht="90" customHeight="1">
      <c r="A84" s="12" t="s">
        <v>480</v>
      </c>
      <c r="B84" s="13" t="s">
        <v>453</v>
      </c>
      <c r="C84" s="13" t="s">
        <v>490</v>
      </c>
      <c r="D84" s="13" t="s">
        <v>491</v>
      </c>
      <c r="E84" s="13" t="s">
        <v>456</v>
      </c>
      <c r="F84" s="14" t="s">
        <v>61</v>
      </c>
      <c r="G84" s="13" t="s">
        <v>313</v>
      </c>
      <c r="H84" s="13" t="s">
        <v>159</v>
      </c>
      <c r="I84" s="13" t="s">
        <v>492</v>
      </c>
      <c r="J84" s="13" t="s">
        <v>493</v>
      </c>
      <c r="K84" s="13"/>
      <c r="L84" s="14" t="s">
        <v>58</v>
      </c>
      <c r="M84" s="13"/>
    </row>
    <row r="85" spans="1:13" ht="90" customHeight="1">
      <c r="A85" s="12" t="s">
        <v>480</v>
      </c>
      <c r="B85" s="13" t="s">
        <v>453</v>
      </c>
      <c r="C85" s="13" t="s">
        <v>490</v>
      </c>
      <c r="D85" s="13" t="s">
        <v>494</v>
      </c>
      <c r="E85" s="13" t="s">
        <v>456</v>
      </c>
      <c r="F85" s="14" t="s">
        <v>61</v>
      </c>
      <c r="G85" s="13" t="s">
        <v>495</v>
      </c>
      <c r="H85" s="13" t="s">
        <v>496</v>
      </c>
      <c r="I85" s="13" t="s">
        <v>497</v>
      </c>
      <c r="J85" s="13" t="s">
        <v>498</v>
      </c>
      <c r="K85" s="13"/>
      <c r="L85" s="14" t="s">
        <v>58</v>
      </c>
      <c r="M85" s="13"/>
    </row>
    <row r="86" spans="1:13" ht="90" customHeight="1">
      <c r="A86" s="12" t="s">
        <v>480</v>
      </c>
      <c r="B86" s="13" t="s">
        <v>453</v>
      </c>
      <c r="C86" s="13" t="s">
        <v>499</v>
      </c>
      <c r="D86" s="13" t="s">
        <v>500</v>
      </c>
      <c r="E86" s="13" t="s">
        <v>456</v>
      </c>
      <c r="F86" s="14" t="s">
        <v>391</v>
      </c>
      <c r="G86" s="13" t="s">
        <v>313</v>
      </c>
      <c r="H86" s="13" t="s">
        <v>159</v>
      </c>
      <c r="I86" s="13" t="s">
        <v>501</v>
      </c>
      <c r="J86" s="13" t="s">
        <v>502</v>
      </c>
      <c r="K86" s="13"/>
      <c r="L86" s="14" t="s">
        <v>58</v>
      </c>
      <c r="M86" s="13"/>
    </row>
    <row r="87" spans="1:13" ht="90" customHeight="1">
      <c r="A87" s="12" t="s">
        <v>480</v>
      </c>
      <c r="B87" s="13" t="s">
        <v>453</v>
      </c>
      <c r="C87" s="13" t="s">
        <v>499</v>
      </c>
      <c r="D87" s="13" t="s">
        <v>503</v>
      </c>
      <c r="E87" s="13" t="s">
        <v>456</v>
      </c>
      <c r="F87" s="14" t="s">
        <v>391</v>
      </c>
      <c r="G87" s="13" t="s">
        <v>313</v>
      </c>
      <c r="H87" s="13" t="s">
        <v>159</v>
      </c>
      <c r="I87" s="13" t="s">
        <v>504</v>
      </c>
      <c r="J87" s="13" t="s">
        <v>505</v>
      </c>
      <c r="K87" s="13"/>
      <c r="L87" s="14" t="s">
        <v>58</v>
      </c>
      <c r="M87" s="13"/>
    </row>
    <row r="88" spans="1:13" ht="90" customHeight="1">
      <c r="A88" s="12" t="s">
        <v>480</v>
      </c>
      <c r="B88" s="13" t="s">
        <v>453</v>
      </c>
      <c r="C88" s="13" t="s">
        <v>506</v>
      </c>
      <c r="D88" s="13" t="s">
        <v>507</v>
      </c>
      <c r="E88" s="13" t="s">
        <v>456</v>
      </c>
      <c r="F88" s="14" t="s">
        <v>61</v>
      </c>
      <c r="G88" s="13" t="s">
        <v>508</v>
      </c>
      <c r="H88" s="13" t="s">
        <v>159</v>
      </c>
      <c r="I88" s="13" t="s">
        <v>509</v>
      </c>
      <c r="J88" s="13" t="s">
        <v>510</v>
      </c>
      <c r="K88" s="13"/>
      <c r="L88" s="14" t="s">
        <v>58</v>
      </c>
      <c r="M88" s="13"/>
    </row>
    <row r="89" spans="1:13" ht="90" customHeight="1">
      <c r="A89" s="12" t="s">
        <v>480</v>
      </c>
      <c r="B89" s="13" t="s">
        <v>453</v>
      </c>
      <c r="C89" s="13" t="s">
        <v>511</v>
      </c>
      <c r="D89" s="13" t="s">
        <v>512</v>
      </c>
      <c r="E89" s="13" t="s">
        <v>186</v>
      </c>
      <c r="F89" s="14" t="s">
        <v>53</v>
      </c>
      <c r="G89" s="13" t="s">
        <v>513</v>
      </c>
      <c r="H89" s="13" t="s">
        <v>159</v>
      </c>
      <c r="I89" s="13" t="s">
        <v>514</v>
      </c>
      <c r="J89" s="13" t="s">
        <v>515</v>
      </c>
      <c r="K89" s="13"/>
      <c r="L89" s="14" t="s">
        <v>58</v>
      </c>
      <c r="M89" s="13"/>
    </row>
    <row r="90" spans="1:13" ht="90" customHeight="1">
      <c r="A90" s="12" t="s">
        <v>480</v>
      </c>
      <c r="B90" s="13" t="s">
        <v>453</v>
      </c>
      <c r="C90" s="13" t="s">
        <v>511</v>
      </c>
      <c r="D90" s="13" t="s">
        <v>516</v>
      </c>
      <c r="E90" s="13" t="s">
        <v>186</v>
      </c>
      <c r="F90" s="14" t="s">
        <v>53</v>
      </c>
      <c r="G90" s="13" t="s">
        <v>159</v>
      </c>
      <c r="H90" s="13" t="s">
        <v>517</v>
      </c>
      <c r="I90" s="13" t="s">
        <v>518</v>
      </c>
      <c r="J90" s="13" t="s">
        <v>519</v>
      </c>
      <c r="K90" s="13"/>
      <c r="L90" s="14" t="s">
        <v>58</v>
      </c>
      <c r="M90" s="13"/>
    </row>
    <row r="91" spans="1:13" ht="90" customHeight="1">
      <c r="A91" s="12" t="s">
        <v>480</v>
      </c>
      <c r="B91" s="13" t="s">
        <v>453</v>
      </c>
      <c r="C91" s="13" t="s">
        <v>520</v>
      </c>
      <c r="D91" s="13" t="s">
        <v>521</v>
      </c>
      <c r="E91" s="13" t="s">
        <v>522</v>
      </c>
      <c r="F91" s="14" t="s">
        <v>61</v>
      </c>
      <c r="G91" s="13" t="s">
        <v>158</v>
      </c>
      <c r="H91" s="13" t="s">
        <v>523</v>
      </c>
      <c r="I91" s="13" t="s">
        <v>524</v>
      </c>
      <c r="J91" s="13" t="s">
        <v>525</v>
      </c>
      <c r="K91" s="13"/>
      <c r="L91" s="14" t="s">
        <v>58</v>
      </c>
      <c r="M91" s="13"/>
    </row>
    <row r="92" spans="1:13" ht="90" customHeight="1">
      <c r="A92" s="12" t="s">
        <v>480</v>
      </c>
      <c r="B92" s="13" t="s">
        <v>453</v>
      </c>
      <c r="C92" s="13" t="s">
        <v>526</v>
      </c>
      <c r="D92" s="13" t="s">
        <v>527</v>
      </c>
      <c r="E92" s="13" t="s">
        <v>528</v>
      </c>
      <c r="F92" s="14" t="s">
        <v>61</v>
      </c>
      <c r="G92" s="13" t="s">
        <v>159</v>
      </c>
      <c r="H92" s="13" t="s">
        <v>529</v>
      </c>
      <c r="I92" s="13" t="s">
        <v>530</v>
      </c>
      <c r="J92" s="13" t="s">
        <v>531</v>
      </c>
      <c r="K92" s="13"/>
      <c r="L92" s="14" t="s">
        <v>58</v>
      </c>
      <c r="M92" s="13"/>
    </row>
    <row r="93" spans="1:13" ht="90" customHeight="1">
      <c r="A93" s="12" t="s">
        <v>480</v>
      </c>
      <c r="B93" s="13" t="s">
        <v>453</v>
      </c>
      <c r="C93" s="13" t="s">
        <v>532</v>
      </c>
      <c r="D93" s="13" t="s">
        <v>533</v>
      </c>
      <c r="E93" s="13" t="s">
        <v>534</v>
      </c>
      <c r="F93" s="14" t="s">
        <v>61</v>
      </c>
      <c r="G93" s="13" t="s">
        <v>159</v>
      </c>
      <c r="H93" s="13" t="s">
        <v>535</v>
      </c>
      <c r="I93" s="13" t="s">
        <v>536</v>
      </c>
      <c r="J93" s="13" t="s">
        <v>537</v>
      </c>
      <c r="K93" s="13"/>
      <c r="L93" s="14" t="s">
        <v>58</v>
      </c>
      <c r="M93" s="13"/>
    </row>
  </sheetData>
  <autoFilter ref="A1:M93" xr:uid="{00000000-0009-0000-0000-000001000000}"/>
  <conditionalFormatting sqref="F2:F93">
    <cfRule type="expression" dxfId="3" priority="5">
      <formula>F2="Alta"</formula>
    </cfRule>
  </conditionalFormatting>
  <conditionalFormatting sqref="L2:L93">
    <cfRule type="expression" dxfId="2" priority="2">
      <formula>L2="Aprobado"</formula>
    </cfRule>
    <cfRule type="expression" dxfId="1" priority="3">
      <formula>L2="Fallido"</formula>
    </cfRule>
    <cfRule type="expression" dxfId="0" priority="4">
      <formula>L2="Bloqueado"</formula>
    </cfRule>
  </conditionalFormatting>
  <dataValidations count="3">
    <dataValidation type="list" allowBlank="1" sqref="E2:E93" xr:uid="{00000000-0002-0000-0100-000000000000}">
      <formula1>"Funcional - Positivo,Funcional - Negativo,Límite,Límite / Negativo,No funcional,No funcional - Rendimiento,No funcional - Seguridad,No funcional - Confiabilidad,No funcional - Portabilidad,No funcional - Usabilidad"</formula1>
      <formula2>0</formula2>
    </dataValidation>
    <dataValidation type="list" allowBlank="1" sqref="F2:F93" xr:uid="{00000000-0002-0000-0100-000001000000}">
      <formula1>"Alta,Media,Baja"</formula1>
      <formula2>0</formula2>
    </dataValidation>
    <dataValidation type="list" allowBlank="1" sqref="L2:L93" xr:uid="{00000000-0002-0000-0100-000002000000}">
      <formula1>"Pendiente,Aprobado,Fallido,Bloqueado,No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1"/>
  <sheetViews>
    <sheetView showGridLines="0" zoomScale="99" zoomScaleNormal="100" workbookViewId="0">
      <selection activeCell="G14" sqref="G14"/>
    </sheetView>
  </sheetViews>
  <sheetFormatPr defaultColWidth="8.7109375" defaultRowHeight="15"/>
  <cols>
    <col min="1" max="1" width="3" customWidth="1"/>
    <col min="2" max="2" width="34" customWidth="1"/>
    <col min="3" max="6" width="12" customWidth="1"/>
    <col min="7" max="7" width="14" customWidth="1"/>
  </cols>
  <sheetData>
    <row r="2" spans="2:6" ht="25.5" customHeight="1">
      <c r="B2" s="26" t="s">
        <v>538</v>
      </c>
      <c r="C2" s="26"/>
      <c r="D2" s="26"/>
      <c r="E2" s="26"/>
      <c r="F2" s="26"/>
    </row>
    <row r="4" spans="2:6" ht="15.95">
      <c r="B4" s="2" t="s">
        <v>539</v>
      </c>
    </row>
    <row r="5" spans="2:6">
      <c r="B5" s="15" t="s">
        <v>38</v>
      </c>
      <c r="C5" s="15" t="s">
        <v>540</v>
      </c>
      <c r="D5" s="15" t="s">
        <v>541</v>
      </c>
      <c r="E5" s="15" t="s">
        <v>542</v>
      </c>
      <c r="F5" s="15" t="s">
        <v>58</v>
      </c>
    </row>
    <row r="6" spans="2:6">
      <c r="B6" s="16" t="s">
        <v>50</v>
      </c>
      <c r="C6" s="17">
        <f>COUNTIF('Casos de Prueba'!$B$2:$B$93,$B6)</f>
        <v>26</v>
      </c>
      <c r="D6" s="17">
        <f>COUNTIFS('Casos de Prueba'!$B$2:$B$93,$B6,'Casos de Prueba'!$L$2:$L$93,"Aprobado")</f>
        <v>0</v>
      </c>
      <c r="E6" s="17">
        <f>COUNTIFS('Casos de Prueba'!$B$2:$B$93,$B6,'Casos de Prueba'!$L$2:$L$93,"Fallido")</f>
        <v>0</v>
      </c>
      <c r="F6" s="17">
        <f>COUNTIFS('Casos de Prueba'!$B$2:$B$93,$B6,'Casos de Prueba'!$L$2:$L$93,"Pendiente")</f>
        <v>26</v>
      </c>
    </row>
    <row r="7" spans="2:6">
      <c r="B7" s="16" t="s">
        <v>197</v>
      </c>
      <c r="C7" s="17">
        <f>COUNTIF('Casos de Prueba'!$B$2:$B$93,$B7)</f>
        <v>13</v>
      </c>
      <c r="D7" s="17">
        <f>COUNTIFS('Casos de Prueba'!$B$2:$B$93,$B7,'Casos de Prueba'!$L$2:$L$93,"Aprobado")</f>
        <v>0</v>
      </c>
      <c r="E7" s="17">
        <f>COUNTIFS('Casos de Prueba'!$B$2:$B$93,$B7,'Casos de Prueba'!$L$2:$L$93,"Fallido")</f>
        <v>0</v>
      </c>
      <c r="F7" s="17">
        <f>COUNTIFS('Casos de Prueba'!$B$2:$B$93,$B7,'Casos de Prueba'!$L$2:$L$93,"Pendiente")</f>
        <v>13</v>
      </c>
    </row>
    <row r="8" spans="2:6">
      <c r="B8" s="16" t="s">
        <v>264</v>
      </c>
      <c r="C8" s="17">
        <f>COUNTIF('Casos de Prueba'!$B$2:$B$93,$B8)</f>
        <v>8</v>
      </c>
      <c r="D8" s="17">
        <f>COUNTIFS('Casos de Prueba'!$B$2:$B$93,$B8,'Casos de Prueba'!$L$2:$L$93,"Aprobado")</f>
        <v>0</v>
      </c>
      <c r="E8" s="17">
        <f>COUNTIFS('Casos de Prueba'!$B$2:$B$93,$B8,'Casos de Prueba'!$L$2:$L$93,"Fallido")</f>
        <v>0</v>
      </c>
      <c r="F8" s="17">
        <f>COUNTIFS('Casos de Prueba'!$B$2:$B$93,$B8,'Casos de Prueba'!$L$2:$L$93,"Pendiente")</f>
        <v>8</v>
      </c>
    </row>
    <row r="9" spans="2:6">
      <c r="B9" s="16" t="s">
        <v>310</v>
      </c>
      <c r="C9" s="17">
        <f>COUNTIF('Casos de Prueba'!$B$2:$B$93,$B9)</f>
        <v>16</v>
      </c>
      <c r="D9" s="17">
        <f>COUNTIFS('Casos de Prueba'!$B$2:$B$93,$B9,'Casos de Prueba'!$L$2:$L$93,"Aprobado")</f>
        <v>0</v>
      </c>
      <c r="E9" s="17">
        <f>COUNTIFS('Casos de Prueba'!$B$2:$B$93,$B9,'Casos de Prueba'!$L$2:$L$93,"Fallido")</f>
        <v>0</v>
      </c>
      <c r="F9" s="17">
        <f>COUNTIFS('Casos de Prueba'!$B$2:$B$93,$B9,'Casos de Prueba'!$L$2:$L$93,"Pendiente")</f>
        <v>16</v>
      </c>
    </row>
    <row r="10" spans="2:6">
      <c r="B10" s="16" t="s">
        <v>395</v>
      </c>
      <c r="C10" s="17">
        <f>COUNTIF('Casos de Prueba'!$B$2:$B$93,$B10)</f>
        <v>6</v>
      </c>
      <c r="D10" s="17">
        <f>COUNTIFS('Casos de Prueba'!$B$2:$B$93,$B10,'Casos de Prueba'!$L$2:$L$93,"Aprobado")</f>
        <v>0</v>
      </c>
      <c r="E10" s="17">
        <f>COUNTIFS('Casos de Prueba'!$B$2:$B$93,$B10,'Casos de Prueba'!$L$2:$L$93,"Fallido")</f>
        <v>0</v>
      </c>
      <c r="F10" s="17">
        <f>COUNTIFS('Casos de Prueba'!$B$2:$B$93,$B10,'Casos de Prueba'!$L$2:$L$93,"Pendiente")</f>
        <v>6</v>
      </c>
    </row>
    <row r="11" spans="2:6">
      <c r="B11" s="16" t="s">
        <v>425</v>
      </c>
      <c r="C11" s="17">
        <f>COUNTIF('Casos de Prueba'!$B$2:$B$93,$B11)</f>
        <v>6</v>
      </c>
      <c r="D11" s="17">
        <f>COUNTIFS('Casos de Prueba'!$B$2:$B$93,$B11,'Casos de Prueba'!$L$2:$L$93,"Aprobado")</f>
        <v>0</v>
      </c>
      <c r="E11" s="17">
        <f>COUNTIFS('Casos de Prueba'!$B$2:$B$93,$B11,'Casos de Prueba'!$L$2:$L$93,"Fallido")</f>
        <v>0</v>
      </c>
      <c r="F11" s="17">
        <f>COUNTIFS('Casos de Prueba'!$B$2:$B$93,$B11,'Casos de Prueba'!$L$2:$L$93,"Pendiente")</f>
        <v>6</v>
      </c>
    </row>
    <row r="12" spans="2:6">
      <c r="B12" s="16" t="s">
        <v>453</v>
      </c>
      <c r="C12" s="17">
        <f>COUNTIF('Casos de Prueba'!$B$2:$B$93,$B12)</f>
        <v>17</v>
      </c>
      <c r="D12" s="17">
        <f>COUNTIFS('Casos de Prueba'!$B$2:$B$93,$B12,'Casos de Prueba'!$L$2:$L$93,"Aprobado")</f>
        <v>0</v>
      </c>
      <c r="E12" s="17">
        <f>COUNTIFS('Casos de Prueba'!$B$2:$B$93,$B12,'Casos de Prueba'!$L$2:$L$93,"Fallido")</f>
        <v>0</v>
      </c>
      <c r="F12" s="17">
        <f>COUNTIFS('Casos de Prueba'!$B$2:$B$93,$B12,'Casos de Prueba'!$L$2:$L$93,"Pendiente")</f>
        <v>17</v>
      </c>
    </row>
    <row r="13" spans="2:6">
      <c r="B13" s="18" t="s">
        <v>543</v>
      </c>
      <c r="C13" s="19">
        <f>SUM(C6:C12)</f>
        <v>92</v>
      </c>
      <c r="D13" s="19">
        <f>SUM(D6:D12)</f>
        <v>0</v>
      </c>
      <c r="E13" s="19">
        <f>SUM(E6:E12)</f>
        <v>0</v>
      </c>
      <c r="F13" s="19">
        <f>SUM(F6:F12)</f>
        <v>92</v>
      </c>
    </row>
    <row r="15" spans="2:6" ht="15.95">
      <c r="B15" s="2" t="s">
        <v>544</v>
      </c>
    </row>
    <row r="16" spans="2:6">
      <c r="B16" s="20" t="s">
        <v>26</v>
      </c>
      <c r="C16" s="20" t="s">
        <v>540</v>
      </c>
      <c r="D16" s="20" t="s">
        <v>541</v>
      </c>
      <c r="E16" s="20" t="s">
        <v>542</v>
      </c>
      <c r="F16" s="20" t="s">
        <v>58</v>
      </c>
    </row>
    <row r="17" spans="2:6">
      <c r="B17" s="16" t="s">
        <v>53</v>
      </c>
      <c r="C17" s="17">
        <f>COUNTIF('Casos de Prueba'!$F$2:$F$93,$B17)</f>
        <v>53</v>
      </c>
      <c r="D17" s="17">
        <f>COUNTIFS('Casos de Prueba'!$F$2:$F$93,$B17,'Casos de Prueba'!$L$2:$L$93,"Aprobado")</f>
        <v>0</v>
      </c>
      <c r="E17" s="17">
        <f>COUNTIFS('Casos de Prueba'!$F$2:$F$93,$B17,'Casos de Prueba'!$L$2:$L$93,"Fallido")</f>
        <v>0</v>
      </c>
      <c r="F17" s="17">
        <f>COUNTIFS('Casos de Prueba'!$F$2:$F$93,$B17,'Casos de Prueba'!$L$2:$L$93,"Pendiente")</f>
        <v>53</v>
      </c>
    </row>
    <row r="18" spans="2:6">
      <c r="B18" s="16" t="s">
        <v>61</v>
      </c>
      <c r="C18" s="17">
        <f>COUNTIF('Casos de Prueba'!$F$2:$F$93,$B18)</f>
        <v>36</v>
      </c>
      <c r="D18" s="17">
        <f>COUNTIFS('Casos de Prueba'!$F$2:$F$93,$B18,'Casos de Prueba'!$L$2:$L$93,"Aprobado")</f>
        <v>0</v>
      </c>
      <c r="E18" s="17">
        <f>COUNTIFS('Casos de Prueba'!$F$2:$F$93,$B18,'Casos de Prueba'!$L$2:$L$93,"Fallido")</f>
        <v>0</v>
      </c>
      <c r="F18" s="17">
        <f>COUNTIFS('Casos de Prueba'!$F$2:$F$93,$B18,'Casos de Prueba'!$L$2:$L$93,"Pendiente")</f>
        <v>36</v>
      </c>
    </row>
    <row r="19" spans="2:6">
      <c r="B19" s="16" t="s">
        <v>391</v>
      </c>
      <c r="C19" s="17">
        <f>COUNTIF('Casos de Prueba'!$F$2:$F$93,$B19)</f>
        <v>3</v>
      </c>
      <c r="D19" s="17">
        <f>COUNTIFS('Casos de Prueba'!$F$2:$F$93,$B19,'Casos de Prueba'!$L$2:$L$93,"Aprobado")</f>
        <v>0</v>
      </c>
      <c r="E19" s="17">
        <f>COUNTIFS('Casos de Prueba'!$F$2:$F$93,$B19,'Casos de Prueba'!$L$2:$L$93,"Fallido")</f>
        <v>0</v>
      </c>
      <c r="F19" s="17">
        <f>COUNTIFS('Casos de Prueba'!$F$2:$F$93,$B19,'Casos de Prueba'!$L$2:$L$93,"Pendiente")</f>
        <v>3</v>
      </c>
    </row>
    <row r="21" spans="2:6">
      <c r="B21" s="21" t="s">
        <v>545</v>
      </c>
      <c r="C21" s="22">
        <f>COUNTA('Casos de Prueba'!$A$2:$A$93)</f>
        <v>92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2026-08-28T17:17:45Z</dcterms:created>
  <dcterms:modified xsi:type="dcterms:W3CDTF">2026-09-01T16:07:57Z</dcterms:modified>
  <cp:category/>
  <cp:contentStatus/>
</cp:coreProperties>
</file>